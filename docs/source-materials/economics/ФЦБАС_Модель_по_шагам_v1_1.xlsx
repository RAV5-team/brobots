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_Легенда" sheetId="1" state="visible" r:id="rId3"/>
    <sheet name="1_Сырые_данные" sheetId="2" state="visible" r:id="rId4"/>
    <sheet name="1b_Нормативы" sheetId="3" state="visible" r:id="rId5"/>
    <sheet name="1c_Каталог" sheetId="4" state="visible" r:id="rId6"/>
    <sheet name="2_Процесс" sheetId="5" state="visible" r:id="rId7"/>
    <sheet name="3_Решение_фильтры" sheetId="6" state="visible" r:id="rId8"/>
    <sheet name="4_Потребность" sheetId="7" state="visible" r:id="rId9"/>
    <sheet name="5_Парк" sheetId="8" state="visible" r:id="rId10"/>
    <sheet name="6_База" sheetId="9" state="visible" r:id="rId11"/>
    <sheet name="7_CAPEX" sheetId="10" state="visible" r:id="rId12"/>
    <sheet name="8_OPEX" sheetId="11" state="visible" r:id="rId13"/>
    <sheet name="9_Эффект" sheetId="12" state="visible" r:id="rId14"/>
    <sheet name="10_ДенПоток" sheetId="13" state="visible" r:id="rId15"/>
    <sheet name="11_Чувствительность" sheetId="14" state="visible" r:id="rId16"/>
    <sheet name="12_Симуляция" sheetId="15" state="visible" r:id="rId17"/>
    <sheet name="13_Итог" sheetId="16" state="visible" r:id="rId18"/>
  </sheets>
  <definedNames>
    <definedName function="false" hidden="false" name="Cat_auton" vbProcedure="false">1c_Каталог!$I$6:$I$13</definedName>
    <definedName function="false" hidden="false" name="Cat_cap" vbProcedure="false">1c_Каталог!$G$6:$G$13</definedName>
    <definedName function="false" hidden="false" name="Cat_charge" vbProcedure="false">1c_Каталог!$J$6:$J$13</definedName>
    <definedName function="false" hidden="false" name="Cat_code" vbProcedure="false">1c_Каталог!$A$6:$A$13</definedName>
    <definedName function="false" hidden="false" name="Cat_conf" vbProcedure="false">1c_Каталог!$W$6:$W$13</definedName>
    <definedName function="false" hidden="false" name="Cat_handling" vbProcedure="false">1c_Каталог!$U$6:$U$13</definedName>
    <definedName function="false" hidden="false" name="Cat_hgt" vbProcedure="false">1c_Каталог!$M$6:$M$13</definedName>
    <definedName function="false" hidden="false" name="Cat_indoor" vbProcedure="false">1c_Каталог!$V$6:$V$13</definedName>
    <definedName function="false" hidden="false" name="Cat_len" vbProcedure="false">1c_Каталог!$K$6:$K$13</definedName>
    <definedName function="false" hidden="false" name="Cat_name" vbProcedure="false">1c_Каталог!$B$6:$B$13</definedName>
    <definedName function="false" hidden="false" name="Cat_outdoor" vbProcedure="false">1c_Каталог!$S$6:$S$13</definedName>
    <definedName function="false" hidden="false" name="Cat_power" vbProcedure="false">1c_Каталог!$O$6:$O$13</definedName>
    <definedName function="false" hidden="false" name="Cat_price" vbProcedure="false">1c_Каталог!$F$6:$F$13</definedName>
    <definedName function="false" hidden="false" name="Cat_repl" vbProcedure="false">1c_Каталог!$R$6:$R$13</definedName>
    <definedName function="false" hidden="false" name="Cat_src" vbProcedure="false">1c_Каталог!$X$6:$X$13</definedName>
    <definedName function="false" hidden="false" name="Cat_status" vbProcedure="false">1c_Каталог!$D$6:$D$13</definedName>
    <definedName function="false" hidden="false" name="Cat_task" vbProcedure="false">1c_Каталог!$T$6:$T$13</definedName>
    <definedName function="false" hidden="false" name="Cat_tload" vbProcedure="false">1c_Каталог!$P$6:$P$13</definedName>
    <definedName function="false" hidden="false" name="Cat_tmin" vbProcedure="false">1c_Каталог!$N$6:$N$13</definedName>
    <definedName function="false" hidden="false" name="Cat_tunload" vbProcedure="false">1c_Каталог!$Q$6:$Q$13</definedName>
    <definedName function="false" hidden="false" name="Cat_ugt" vbProcedure="false">1c_Каталог!$E$6:$E$13</definedName>
    <definedName function="false" hidden="false" name="Cat_vendor" vbProcedure="false">1c_Каталог!$C$6:$C$13</definedName>
    <definedName function="false" hidden="false" name="Cat_vmax" vbProcedure="false">1c_Каталог!$H$6:$H$13</definedName>
    <definedName function="false" hidden="false" name="Cat_wid" vbProcedure="false">1c_Каталог!$L$6:$L$13</definedName>
    <definedName function="false" hidden="false" name="N_avail" vbProcedure="false">1b_Нормативы!$D$7</definedName>
    <definedName function="false" hidden="false" name="N_battery_life" vbProcedure="false">1b_Нормативы!$D$22</definedName>
    <definedName function="false" hidden="false" name="N_battery_share" vbProcedure="false">1b_Нормативы!$D$23</definedName>
    <definedName function="false" hidden="false" name="N_capex_reserve" vbProcedure="false">1b_Нормативы!$D$17</definedName>
    <definedName function="false" hidden="false" name="N_charger_kw" vbProcedure="false">1b_Нормативы!$D$12</definedName>
    <definedName function="false" hidden="false" name="N_charger_price" vbProcedure="false">1b_Нормативы!$D$11</definedName>
    <definedName function="false" hidden="false" name="N_charger_ratio" vbProcedure="false">1b_Нормативы!$D$10</definedName>
    <definedName function="false" hidden="false" name="N_connect" vbProcedure="false">1b_Нормативы!$D$24</definedName>
    <definedName function="false" hidden="false" name="N_delivery_pct" vbProcedure="false">1b_Нормативы!$D$14</definedName>
    <definedName function="false" hidden="false" name="N_discount" vbProcedure="false">1b_Нормативы!$D$30</definedName>
    <definedName function="false" hidden="false" name="N_energy_price" vbProcedure="false">1b_Нормативы!$D$21</definedName>
    <definedName function="false" hidden="false" name="N_fot" vbProcedure="false">1b_Нормативы!$D$5</definedName>
    <definedName function="false" hidden="false" name="N_hire_cost" vbProcedure="false">1b_Нормативы!$D$29</definedName>
    <definedName function="false" hidden="false" name="N_kv" vbProcedure="false">1b_Нормативы!$D$9</definedName>
    <definedName function="false" hidden="false" name="N_license_pct" vbProcedure="false">1b_Нормативы!$D$19</definedName>
    <definedName function="false" hidden="false" name="N_life" vbProcedure="false">1b_Нормативы!$D$25</definedName>
    <definedName function="false" hidden="false" name="N_loan_rate" vbProcedure="false">1b_Нормативы!$D$32</definedName>
    <definedName function="false" hidden="false" name="N_loan_share" vbProcedure="false">1b_Нормативы!$D$31</definedName>
    <definedName function="false" hidden="false" name="N_loan_years" vbProcedure="false">1b_Нормативы!$D$33</definedName>
    <definedName function="false" hidden="false" name="N_loss_k_default" vbProcedure="false">1b_Нормативы!$D$37</definedName>
    <definedName function="false" hidden="false" name="N_pb_good" vbProcedure="false">1b_Нормативы!$D$34</definedName>
    <definedName function="false" hidden="false" name="N_pb_mid" vbProcedure="false">1b_Нормативы!$D$35</definedName>
    <definedName function="false" hidden="false" name="N_pnr_pct" vbProcedure="false">1b_Нормативы!$D$15</definedName>
    <definedName function="false" hidden="false" name="N_raas_pct" vbProcedure="false">1b_Нормативы!$D$26</definedName>
    <definedName function="false" hidden="false" name="N_raas_setup" vbProcedure="false">1b_Нормативы!$D$27</definedName>
    <definedName function="false" hidden="false" name="N_repair_pct" vbProcedure="false">1b_Нормативы!$D$20</definedName>
    <definedName function="false" hidden="false" name="N_reserve" vbProcedure="false">1b_Нормативы!$D$8</definedName>
    <definedName function="false" hidden="false" name="N_residual_pct" vbProcedure="false">1b_Нормативы!$D$28</definedName>
    <definedName function="false" hidden="false" name="N_sens" vbProcedure="false">1b_Нормативы!$D$36</definedName>
    <definedName function="false" hidden="false" name="N_service_pct" vbProcedure="false">1b_Нормативы!$D$18</definedName>
    <definedName function="false" hidden="false" name="N_sim_tol" vbProcedure="false">1b_Нормативы!$D$38</definedName>
    <definedName function="false" hidden="false" name="N_sw_pct" vbProcedure="false">1b_Нормативы!$D$13</definedName>
    <definedName function="false" hidden="false" name="N_training" vbProcedure="false">1b_Нормативы!$D$16</definedName>
    <definedName function="false" hidden="false" name="N_util" vbProcedure="false">1b_Нормативы!$D$6</definedName>
    <definedName function="false" hidden="false" name="P_aisle" vbProcedure="false">2_Процесс!$G$17</definedName>
    <definedName function="false" hidden="false" name="P_auto_share" vbProcedure="false">2_Процесс!$G$10</definedName>
    <definedName function="false" hidden="false" name="P_base_labor" vbProcedure="false">2_Процесс!$G$34</definedName>
    <definedName function="false" hidden="false" name="P_budget" vbProcedure="false">2_Процесс!$G$45</definedName>
    <definedName function="false" hidden="false" name="P_clearance" vbProcedure="false">2_Процесс!$G$18</definedName>
    <definedName function="false" hidden="false" name="P_consum_per_robot" vbProcedure="false">2_Процесс!$G$42</definedName>
    <definedName function="false" hidden="false" name="P_divisible" vbProcedure="false">2_Процесс!$G$12</definedName>
    <definedName function="false" hidden="false" name="P_fleet_per_shift" vbProcedure="false">2_Процесс!$G$38</definedName>
    <definedName function="false" hidden="false" name="P_fleet_sal" vbProcedure="false">2_Процесс!$G$39</definedName>
    <definedName function="false" hidden="false" name="P_fte_target" vbProcedure="false">2_Процесс!$G$32</definedName>
    <definedName function="false" hidden="false" name="P_func1" vbProcedure="false">2_Процесс!$G$28</definedName>
    <definedName function="false" hidden="false" name="P_func2" vbProcedure="false">2_Процесс!$G$29</definedName>
    <definedName function="false" hidden="false" name="P_func3" vbProcedure="false">2_Процесс!$G$30</definedName>
    <definedName function="false" hidden="false" name="P_g3_sal" vbProcedure="false">2_Процесс!$G$31</definedName>
    <definedName function="false" hidden="false" name="P_handling_req" vbProcedure="false">2_Процесс!$G$21</definedName>
    <definedName function="false" hidden="false" name="P_horizon" vbProcedure="false">2_Процесс!$G$46</definedName>
    <definedName function="false" hidden="false" name="P_hours_day" vbProcedure="false">2_Процесс!$G$5</definedName>
    <definedName function="false" hidden="false" name="P_indoor_req" vbProcedure="false">2_Процесс!$G$22</definedName>
    <definedName function="false" hidden="false" name="P_integration" vbProcedure="false">2_Процесс!$G$41</definedName>
    <definedName function="false" hidden="false" name="P_L" vbProcedure="false">2_Процесс!$G$13</definedName>
    <definedName function="false" hidden="false" name="P_labor_target" vbProcedure="false">2_Процесс!$G$33</definedName>
    <definedName function="false" hidden="false" name="P_lift_share" vbProcedure="false">2_Процесс!$G$15</definedName>
    <definedName function="false" hidden="false" name="P_lift_time" vbProcedure="false">2_Процесс!$G$16</definedName>
    <definedName function="false" hidden="false" name="P_loss_k" vbProcedure="false">2_Процесс!$G$37</definedName>
    <definedName function="false" hidden="false" name="P_ops_day" vbProcedure="false">2_Процесс!$G$7</definedName>
    <definedName function="false" hidden="false" name="P_other_effects" vbProcedure="false">2_Процесс!$G$43</definedName>
    <definedName function="false" hidden="false" name="P_outdoor_req" vbProcedure="false">2_Процесс!$G$19</definedName>
    <definedName function="false" hidden="false" name="P_peak_k" vbProcedure="false">2_Процесс!$G$8</definedName>
    <definedName function="false" hidden="false" name="P_peak_ops_h" vbProcedure="false">2_Процесс!$G$9</definedName>
    <definedName function="false" hidden="false" name="P_power_kw" vbProcedure="false">2_Процесс!$G$44</definedName>
    <definedName function="false" hidden="false" name="P_repl_body" vbProcedure="false">2_Процесс!$G$26</definedName>
    <definedName function="false" hidden="false" name="P_repl_forks" vbProcedure="false">2_Процесс!$G$23</definedName>
    <definedName function="false" hidden="false" name="P_repl_platform" vbProcedure="false">2_Процесс!$G$24</definedName>
    <definedName function="false" hidden="false" name="P_repl_tow" vbProcedure="false">2_Процесс!$G$25</definedName>
    <definedName function="false" hidden="false" name="P_sal_target" vbProcedure="false">2_Процесс!$G$35</definedName>
    <definedName function="false" hidden="false" name="P_shifts" vbProcedure="false">2_Процесс!$G$6</definedName>
    <definedName function="false" hidden="false" name="P_site_pct" vbProcedure="false">2_Процесс!$G$40</definedName>
    <definedName function="false" hidden="false" name="P_speed_cap" vbProcedure="false">2_Процесс!$G$14</definedName>
    <definedName function="false" hidden="false" name="P_task_class" vbProcedure="false">2_Процесс!$G$20</definedName>
    <definedName function="false" hidden="false" name="P_temp_min" vbProcedure="false">2_Процесс!$G$27</definedName>
    <definedName function="false" hidden="false" name="P_turnover" vbProcedure="false">2_Процесс!$G$36</definedName>
    <definedName function="false" hidden="false" name="P_unit_mass" vbProcedure="false">2_Процесс!$G$11</definedName>
    <definedName function="false" hidden="false" name="R_aisle_main" vbProcedure="false">1_Сырые_данные!$G$7</definedName>
    <definedName function="false" hidden="false" name="R_aisle_rack" vbProcedure="false">1_Сырые_данные!$G$8</definedName>
    <definedName function="false" hidden="false" name="R_bags_day" vbProcedure="false">1_Сырые_данные!$G$21</definedName>
    <definedName function="false" hidden="false" name="R_bag_mass" vbProcedure="false">1_Сырые_данные!$G$22</definedName>
    <definedName function="false" hidden="false" name="R_budget" vbProcedure="false">1_Сырые_данные!$G$42</definedName>
    <definedName function="false" hidden="false" name="R_cart_mass" vbProcedure="false">1_Сырые_данные!$G$27</definedName>
    <definedName function="false" hidden="false" name="R_corridor" vbProcedure="false">1_Сырые_данные!$G$9</definedName>
    <definedName function="false" hidden="false" name="R_feedings" vbProcedure="false">1_Сырые_данные!$G$24</definedName>
    <definedName function="false" hidden="false" name="R_flights_day" vbProcedure="false">1_Сырые_данные!$G$19</definedName>
    <definedName function="false" hidden="false" name="R_flights_peak_h" vbProcedure="false">1_Сырые_данные!$G$20</definedName>
    <definedName function="false" hidden="false" name="R_floors" vbProcedure="false">1_Сырые_данные!$G$10</definedName>
    <definedName function="false" hidden="false" name="R_food_points" vbProcedure="false">1_Сырые_данные!$G$25</definedName>
    <definedName function="false" hidden="false" name="R_g1_n" vbProcedure="false">1_Сырые_данные!$G$34</definedName>
    <definedName function="false" hidden="false" name="R_g1_sal" vbProcedure="false">1_Сырые_данные!$G$35</definedName>
    <definedName function="false" hidden="false" name="R_g2_n" vbProcedure="false">1_Сырые_данные!$G$36</definedName>
    <definedName function="false" hidden="false" name="R_g2_sal" vbProcedure="false">1_Сырые_данные!$G$37</definedName>
    <definedName function="false" hidden="false" name="R_g3_n" vbProcedure="false">1_Сырые_данные!$G$38</definedName>
    <definedName function="false" hidden="false" name="R_horizon" vbProcedure="false">1_Сырые_данные!$G$43</definedName>
    <definedName function="false" hidden="false" name="R_in_pallets" vbProcedure="false">1_Сырые_данные!$G$15</definedName>
    <definedName function="false" hidden="false" name="R_lifts" vbProcedure="false">1_Сырые_данные!$G$11</definedName>
    <definedName function="false" hidden="false" name="R_linen_freq" vbProcedure="false">1_Сырые_данные!$G$29</definedName>
    <definedName function="false" hidden="false" name="R_linen_mass" vbProcedure="false">1_Сырые_данные!$G$30</definedName>
    <definedName function="false" hidden="false" name="R_linen_points" vbProcedure="false">1_Сырые_данные!$G$28</definedName>
    <definedName function="false" hidden="false" name="R_loss_k_ds" vbProcedure="false">1_Сырые_данные!$G$39</definedName>
    <definedName function="false" hidden="false" name="R_L_food" vbProcedure="false">1_Сырые_данные!$G$26</definedName>
    <definedName function="false" hidden="false" name="R_out_pallets" vbProcedure="false">1_Сырые_данные!$G$16</definedName>
    <definedName function="false" hidden="false" name="R_oversize_share" vbProcedure="false">1_Сырые_данные!$G$18</definedName>
    <definedName function="false" hidden="false" name="R_pallet_mass" vbProcedure="false">1_Сырые_данные!$G$17</definedName>
    <definedName function="false" hidden="false" name="R_peak_k" vbProcedure="false">1_Сырые_данные!$G$14</definedName>
    <definedName function="false" hidden="false" name="R_power_kw" vbProcedure="false">1_Сырые_данные!$G$41</definedName>
    <definedName function="false" hidden="false" name="R_shifts" vbProcedure="false">1_Сырые_данные!$G$12</definedName>
    <definedName function="false" hidden="false" name="R_shift_h" vbProcedure="false">1_Сырые_данные!$G$13</definedName>
    <definedName function="false" hidden="false" name="R_supplies_trips" vbProcedure="false">1_Сырые_данные!$G$31</definedName>
    <definedName function="false" hidden="false" name="R_S_active" vbProcedure="false">1_Сырые_данные!$G$6</definedName>
    <definedName function="false" hidden="false" name="R_S_total" vbProcedure="false">1_Сырые_данные!$G$5</definedName>
    <definedName function="false" hidden="false" name="R_temp_min_ds" vbProcedure="false">1_Сырые_данные!$G$23</definedName>
    <definedName function="false" hidden="false" name="R_turnover_ds" vbProcedure="false">1_Сырые_данные!$G$40</definedName>
    <definedName function="false" hidden="false" name="R_waste_freq" vbProcedure="false">1_Сырые_данные!$G$33</definedName>
    <definedName function="false" hidden="false" name="R_waste_points" vbProcedure="false">1_Сырые_данные!$G$32</definedName>
    <definedName function="false" hidden="false" name="SEL_A" vbProcedure="false">0_Легенда!$B$12</definedName>
    <definedName function="false" hidden="false" name="SEL_B" vbProcedure="false">0_Легенда!$B$13</definedName>
    <definedName function="false" hidden="false" name="SEL_OBJ" vbProcedure="false">0_Легенда!$B$4</definedName>
    <definedName function="false" hidden="false" name="SEL_PROC" vbProcedure="false">0_Легенда!$B$14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<sst xmlns="http://schemas.openxmlformats.org/spreadsheetml/2006/main" count="1809" uniqueCount="1075">
  <si>
    <t xml:space="preserve">МОДЕЛЬ ПО ШАГАМ v1.1: вкладка = шаг расчёта; результаты шагов передаются в симуляцию (шаг 12). v1.1: поля каталога «класс задачи / способ обработки / допуск в помещения», замещение по паре задача×способ</t>
  </si>
  <si>
    <t xml:space="preserve">Переключите объект в жёлтой ячейке — все шаги пересчитаются. Синие ячейки — ввод; чёрные — формулы.</t>
  </si>
  <si>
    <t xml:space="preserve">Выбранный объект:</t>
  </si>
  <si>
    <t xml:space="preserve">Склад</t>
  </si>
  <si>
    <t xml:space="preserve">Сценарии по объектам (решение A / решение B — коды листа 1c_Каталог):</t>
  </si>
  <si>
    <t xml:space="preserve">Объект</t>
  </si>
  <si>
    <t xml:space="preserve">Решение A</t>
  </si>
  <si>
    <t xml:space="preserve">Решение B</t>
  </si>
  <si>
    <t xml:space="preserve">Процесс</t>
  </si>
  <si>
    <t xml:space="preserve">DMR-CARRIER-P</t>
  </si>
  <si>
    <t xml:space="preserve">RONAVI-H1500</t>
  </si>
  <si>
    <t xml:space="preserve">перемещение паллет док ↔ хранение</t>
  </si>
  <si>
    <t xml:space="preserve">Аэропорт</t>
  </si>
  <si>
    <t xml:space="preserve">COGNITIVE-TUG</t>
  </si>
  <si>
    <t xml:space="preserve">EVOCARGO-N1</t>
  </si>
  <si>
    <t xml:space="preserve">перевозка багажа перрон ↔ терминал</t>
  </si>
  <si>
    <t xml:space="preserve">Медучреждение</t>
  </si>
  <si>
    <t xml:space="preserve">RONAVI-M</t>
  </si>
  <si>
    <t xml:space="preserve">MOROS-AMR800</t>
  </si>
  <si>
    <t xml:space="preserve">транспортировка тележек: питание, бельё, отходы, расходники</t>
  </si>
  <si>
    <t xml:space="preserve">Решение A (выбрано):</t>
  </si>
  <si>
    <t xml:space="preserve">Решение B (выбрано):</t>
  </si>
  <si>
    <t xml:space="preserve">Процесс:</t>
  </si>
  <si>
    <t xml:space="preserve">Типы происхождения параметров (столбец «Тип» на каждом шаге):</t>
  </si>
  <si>
    <t xml:space="preserve">СЫРОЙ — датасет</t>
  </si>
  <si>
    <t xml:space="preserve">значение взято как есть из Датасеты_хакатон.xlsx (лист объекта)</t>
  </si>
  <si>
    <t xml:space="preserve">СЫРОЙ — каталог CSV</t>
  </si>
  <si>
    <t xml:space="preserve">значение из catalog_export_v4.csv: цена (с НДС, без доставки/ПНР), статус, УГТ</t>
  </si>
  <si>
    <t xml:space="preserve">СЫРОЙ — docx ТТХ</t>
  </si>
  <si>
    <t xml:space="preserve">ТТХ из Примеры_решений_типы_объектов.docx (или описаний каталога); неподтверждённые помечены на 1c_Каталог</t>
  </si>
  <si>
    <t xml:space="preserve">НОРМАТИВ — организатор</t>
  </si>
  <si>
    <t xml:space="preserve">норматив из легенды датасета / ТЗ / Дополнений (ФОТ 1.302, загрузка 80%, резерв 15%, резерв CAPEX 10%, АКБ 4 года)</t>
  </si>
  <si>
    <t xml:space="preserve">ДОПУЩЕНИЕ — команда</t>
  </si>
  <si>
    <t xml:space="preserve">коэффициент команды с обоснованием; подлежит изменению пользователем (ТЗ 3.5.3)</t>
  </si>
  <si>
    <t xml:space="preserve">ПРЕДПОСЧИТАН — шаг N</t>
  </si>
  <si>
    <t xml:space="preserve">рассчитан формулой на шаге N; сюда попадает ссылкой, не вводится</t>
  </si>
  <si>
    <t xml:space="preserve">Конвейер шагов:</t>
  </si>
  <si>
    <t xml:space="preserve">1_Сырые_данные</t>
  </si>
  <si>
    <t xml:space="preserve">Параметры объекта из датасета (три объекта в столбцах; выбранный — формулой)</t>
  </si>
  <si>
    <t xml:space="preserve">1b_Нормативы</t>
  </si>
  <si>
    <t xml:space="preserve">Глобальные нормативы и допущения</t>
  </si>
  <si>
    <t xml:space="preserve">1c_Каталог</t>
  </si>
  <si>
    <t xml:space="preserve">Решения: цены (CSV) + ТТХ (docx) + допущения по решению</t>
  </si>
  <si>
    <t xml:space="preserve">2_Процесс</t>
  </si>
  <si>
    <t xml:space="preserve">Предпосчёт параметров процесса из сырых данных (объём, пик, масса единицы, маршрут, целевой ФОТ)</t>
  </si>
  <si>
    <t xml:space="preserve">3_Решение_фильтры</t>
  </si>
  <si>
    <t xml:space="preserve">Подтягивание ТТХ выбранных решений и проверка применимости</t>
  </si>
  <si>
    <t xml:space="preserve">4_Потребность</t>
  </si>
  <si>
    <t xml:space="preserve">Пиковая потребность в рейсах робота</t>
  </si>
  <si>
    <t xml:space="preserve">5_Парк</t>
  </si>
  <si>
    <t xml:space="preserve">Цикл рейса, эффективная производительность, количество роботов и станций</t>
  </si>
  <si>
    <t xml:space="preserve">6_База</t>
  </si>
  <si>
    <t xml:space="preserve">Базовый сценарий без роботизации</t>
  </si>
  <si>
    <t xml:space="preserve">7_CAPEX</t>
  </si>
  <si>
    <t xml:space="preserve">Капитальные затраты по статьям</t>
  </si>
  <si>
    <t xml:space="preserve">8_OPEX</t>
  </si>
  <si>
    <t xml:space="preserve">Операционные затраты решения</t>
  </si>
  <si>
    <t xml:space="preserve">9_Эффект</t>
  </si>
  <si>
    <t xml:space="preserve">Эффект, окупаемость, ROI, TCO, интерпретация, риски</t>
  </si>
  <si>
    <t xml:space="preserve">10_ДенПоток</t>
  </si>
  <si>
    <t xml:space="preserve">Денежный поток по годам, NPV, IRR, дисконтированная окупаемость</t>
  </si>
  <si>
    <t xml:space="preserve">11_Чувствительность</t>
  </si>
  <si>
    <t xml:space="preserve">Пересчёт шагов 5, 7–9 при ±20% по трём параметрам</t>
  </si>
  <si>
    <t xml:space="preserve">12_Симуляция</t>
  </si>
  <si>
    <t xml:space="preserve">Передача параметров в 2D-имитацию, приём её результатов, правила подтверждения и обратной связи</t>
  </si>
  <si>
    <t xml:space="preserve">13_Итог</t>
  </si>
  <si>
    <t xml:space="preserve">Сводка по выбранному объекту</t>
  </si>
  <si>
    <t xml:space="preserve">ШАГ 1. СЫРЫЕ ДАННЫЕ ОБЪЕКТА (Датасеты_хакатон.xlsx) — вход конвейера</t>
  </si>
  <si>
    <t xml:space="preserve">Столбцы D–F — базовые значения датасета по трём объектам (синие = сырой ввод); столбец G — значение выбранного объекта (формула). Пусто = параметр не применяется к объекту.</t>
  </si>
  <si>
    <t xml:space="preserve">Код</t>
  </si>
  <si>
    <t xml:space="preserve">Параметр</t>
  </si>
  <si>
    <t xml:space="preserve">Ед.</t>
  </si>
  <si>
    <t xml:space="preserve">Выбрано (SEL_OBJ)</t>
  </si>
  <si>
    <t xml:space="preserve">Тип</t>
  </si>
  <si>
    <t xml:space="preserve">Источник (лист датасета / примечание)</t>
  </si>
  <si>
    <t xml:space="preserve">S_total</t>
  </si>
  <si>
    <t xml:space="preserve">Общая площадь объекта / здания</t>
  </si>
  <si>
    <t xml:space="preserve">м²</t>
  </si>
  <si>
    <t xml:space="preserve">Склад: общая площадь; Аэропорт: площадь терминалов; Мед: площадь зданий</t>
  </si>
  <si>
    <t xml:space="preserve">S_active</t>
  </si>
  <si>
    <t xml:space="preserve">Площадь активной (роботизируемой) зоны / перрона</t>
  </si>
  <si>
    <t xml:space="preserve">Склад: активная зона 50%; Аэропорт: перрон и техзоны</t>
  </si>
  <si>
    <t xml:space="preserve">aisle_main</t>
  </si>
  <si>
    <t xml:space="preserve">Ширина главных проездов</t>
  </si>
  <si>
    <t xml:space="preserve">м</t>
  </si>
  <si>
    <t xml:space="preserve">aisle_rack</t>
  </si>
  <si>
    <t xml:space="preserve">Ширина рабочих проходов между стеллажами</t>
  </si>
  <si>
    <t xml:space="preserve">corridor</t>
  </si>
  <si>
    <t xml:space="preserve">Ширина коридоров (основных)</t>
  </si>
  <si>
    <t xml:space="preserve">Мед</t>
  </si>
  <si>
    <t xml:space="preserve">floors</t>
  </si>
  <si>
    <t xml:space="preserve">Этажей</t>
  </si>
  <si>
    <t xml:space="preserve">шт.</t>
  </si>
  <si>
    <t xml:space="preserve">Склад: мезонины; Мед: основной корпус</t>
  </si>
  <si>
    <t xml:space="preserve">lifts</t>
  </si>
  <si>
    <t xml:space="preserve">Лифтов</t>
  </si>
  <si>
    <t xml:space="preserve">shifts</t>
  </si>
  <si>
    <t xml:space="preserve">Смен в сутки</t>
  </si>
  <si>
    <t xml:space="preserve">смен</t>
  </si>
  <si>
    <t xml:space="preserve">Склад; Мед: смены медперсонала</t>
  </si>
  <si>
    <t xml:space="preserve">shift_h</t>
  </si>
  <si>
    <t xml:space="preserve">Продолжительность смены</t>
  </si>
  <si>
    <t xml:space="preserve">ч</t>
  </si>
  <si>
    <t xml:space="preserve">Склад (с учётом перерывов)</t>
  </si>
  <si>
    <t xml:space="preserve">peak_k</t>
  </si>
  <si>
    <t xml:space="preserve">Пиковый коэффициент нагрузки</t>
  </si>
  <si>
    <t xml:space="preserve">коэф.</t>
  </si>
  <si>
    <t xml:space="preserve">Склад (макс. час / средний час)</t>
  </si>
  <si>
    <t xml:space="preserve">in_pallets</t>
  </si>
  <si>
    <t xml:space="preserve">Объём приёмки</t>
  </si>
  <si>
    <t xml:space="preserve">поддон/сут</t>
  </si>
  <si>
    <t xml:space="preserve">out_pallets</t>
  </si>
  <si>
    <t xml:space="preserve">Объём отгрузки</t>
  </si>
  <si>
    <t xml:space="preserve">pallet_mass</t>
  </si>
  <si>
    <t xml:space="preserve">Средняя масса паллета</t>
  </si>
  <si>
    <t xml:space="preserve">кг</t>
  </si>
  <si>
    <t xml:space="preserve">oversize_share</t>
  </si>
  <si>
    <t xml:space="preserve">Доля негабаритных грузов</t>
  </si>
  <si>
    <t xml:space="preserve">доля</t>
  </si>
  <si>
    <t xml:space="preserve">Склад (остаётся ручным)</t>
  </si>
  <si>
    <t xml:space="preserve">flights_day</t>
  </si>
  <si>
    <t xml:space="preserve">Рейсов в сутки (взлёт+посадка)</t>
  </si>
  <si>
    <t xml:space="preserve">рейсов/сут</t>
  </si>
  <si>
    <t xml:space="preserve">flights_peak_h</t>
  </si>
  <si>
    <t xml:space="preserve">Пиковых рейсов в час</t>
  </si>
  <si>
    <t xml:space="preserve">рейсов/ч</t>
  </si>
  <si>
    <t xml:space="preserve">bags_day</t>
  </si>
  <si>
    <t xml:space="preserve">Багажа в сутки</t>
  </si>
  <si>
    <t xml:space="preserve">ед./сут</t>
  </si>
  <si>
    <t xml:space="preserve">bag_mass</t>
  </si>
  <si>
    <t xml:space="preserve">Масса единицы багажа</t>
  </si>
  <si>
    <t xml:space="preserve">temp_min_ds</t>
  </si>
  <si>
    <t xml:space="preserve">Температура в неотапливаемых зонах (зима)</t>
  </si>
  <si>
    <t xml:space="preserve">°C</t>
  </si>
  <si>
    <t xml:space="preserve">Аэропорт (перрон)</t>
  </si>
  <si>
    <t xml:space="preserve">feedings</t>
  </si>
  <si>
    <t xml:space="preserve">Кормлений в сутки</t>
  </si>
  <si>
    <t xml:space="preserve">раз/сут</t>
  </si>
  <si>
    <t xml:space="preserve">food_points</t>
  </si>
  <si>
    <t xml:space="preserve">Точек раздачи питания</t>
  </si>
  <si>
    <t xml:space="preserve">L_food</t>
  </si>
  <si>
    <t xml:space="preserve">Расстояние пищеблок → отделение</t>
  </si>
  <si>
    <t xml:space="preserve">cart_mass</t>
  </si>
  <si>
    <t xml:space="preserve">Масса тележки с питанием</t>
  </si>
  <si>
    <t xml:space="preserve">linen_points</t>
  </si>
  <si>
    <t xml:space="preserve">Точек сбора/выдачи белья</t>
  </si>
  <si>
    <t xml:space="preserve">linen_freq</t>
  </si>
  <si>
    <t xml:space="preserve">Периодичность смены белья</t>
  </si>
  <si>
    <t xml:space="preserve">linen_mass</t>
  </si>
  <si>
    <t xml:space="preserve">Масса контейнера с бельём</t>
  </si>
  <si>
    <t xml:space="preserve">supplies_trips</t>
  </si>
  <si>
    <t xml:space="preserve">Доставка расходников</t>
  </si>
  <si>
    <t xml:space="preserve">waste_points</t>
  </si>
  <si>
    <t xml:space="preserve">Точек сбора отходов</t>
  </si>
  <si>
    <t xml:space="preserve">waste_freq</t>
  </si>
  <si>
    <t xml:space="preserve">Периодичность вывоза отходов</t>
  </si>
  <si>
    <t xml:space="preserve">g1_n</t>
  </si>
  <si>
    <t xml:space="preserve">Целевая группа персонала 1 — численность</t>
  </si>
  <si>
    <t xml:space="preserve">чел.</t>
  </si>
  <si>
    <t xml:space="preserve">Склад: операторы погрузчиков; Аэропорт: персонал рампа; Мед: санитары/транспортировщики</t>
  </si>
  <si>
    <t xml:space="preserve">g1_sal</t>
  </si>
  <si>
    <t xml:space="preserve">Целевая группа 1 — оклад gross</t>
  </si>
  <si>
    <t xml:space="preserve">руб./мес.</t>
  </si>
  <si>
    <t xml:space="preserve">Датасет</t>
  </si>
  <si>
    <t xml:space="preserve">g2_n</t>
  </si>
  <si>
    <t xml:space="preserve">Целевая группа 2 — численность</t>
  </si>
  <si>
    <t xml:space="preserve">Мед: пищеблок (раздача)</t>
  </si>
  <si>
    <t xml:space="preserve">g2_sal</t>
  </si>
  <si>
    <t xml:space="preserve">Целевая группа 2 — оклад gross</t>
  </si>
  <si>
    <t xml:space="preserve">g3_n</t>
  </si>
  <si>
    <t xml:space="preserve">Целевая группа 3 — численность</t>
  </si>
  <si>
    <t xml:space="preserve">Мед: прачечная (транспорт белья)</t>
  </si>
  <si>
    <t xml:space="preserve">loss_k_ds</t>
  </si>
  <si>
    <t xml:space="preserve">Коэффициент потерь рабочего времени</t>
  </si>
  <si>
    <t xml:space="preserve">Склад (отпуск, болезнь, текучесть)</t>
  </si>
  <si>
    <t xml:space="preserve">turnover_ds</t>
  </si>
  <si>
    <t xml:space="preserve">Годовая текучесть персонала</t>
  </si>
  <si>
    <t xml:space="preserve">Аэропорт: персонал терминала; Мед: немедицинский персонал</t>
  </si>
  <si>
    <t xml:space="preserve">power_kw</t>
  </si>
  <si>
    <t xml:space="preserve">Доступная мощность для зарядной инфраструктуры</t>
  </si>
  <si>
    <t xml:space="preserve">кВт</t>
  </si>
  <si>
    <t xml:space="preserve">budget</t>
  </si>
  <si>
    <t xml:space="preserve">Планируемый бюджет на роботизацию (CAPEX)</t>
  </si>
  <si>
    <t xml:space="preserve">млн руб.</t>
  </si>
  <si>
    <t xml:space="preserve">horizon</t>
  </si>
  <si>
    <t xml:space="preserve">Горизонт расчёта окупаемости</t>
  </si>
  <si>
    <t xml:space="preserve">лет</t>
  </si>
  <si>
    <t xml:space="preserve">ШАГ 1b. ГЛОБАЛЬНЫЕ НОРМАТИВЫ И ДОПУЩЕНИЯ</t>
  </si>
  <si>
    <t xml:space="preserve">Используются на шагах 2–11. Тип показывает, задан ли норматив организатором или принят командой.</t>
  </si>
  <si>
    <t xml:space="preserve">Норматив</t>
  </si>
  <si>
    <t xml:space="preserve">Значение</t>
  </si>
  <si>
    <t xml:space="preserve">Источник / обоснование</t>
  </si>
  <si>
    <t xml:space="preserve">Используется на шагах</t>
  </si>
  <si>
    <t xml:space="preserve">N_fot</t>
  </si>
  <si>
    <t xml:space="preserve">Коэффициент начислений на ФОТ</t>
  </si>
  <si>
    <t xml:space="preserve">Датасет: 30.2% страховых взносов</t>
  </si>
  <si>
    <t xml:space="preserve">2, 6, 8</t>
  </si>
  <si>
    <t xml:space="preserve">N_util</t>
  </si>
  <si>
    <t xml:space="preserve">Коэффициент загрузки робота</t>
  </si>
  <si>
    <t xml:space="preserve">Датасет, легенда: 70–85%</t>
  </si>
  <si>
    <t xml:space="preserve">5</t>
  </si>
  <si>
    <t xml:space="preserve">N_avail</t>
  </si>
  <si>
    <t xml:space="preserve">Коэффициент технической готовности</t>
  </si>
  <si>
    <t xml:space="preserve">Плановое ТО и отказы; SLA вендоров 95–98%</t>
  </si>
  <si>
    <t xml:space="preserve">N_reserve</t>
  </si>
  <si>
    <t xml:space="preserve">Резерв парка на пик</t>
  </si>
  <si>
    <t xml:space="preserve">Датасет, легенда: 15–20%</t>
  </si>
  <si>
    <t xml:space="preserve">N_kv</t>
  </si>
  <si>
    <t xml:space="preserve">Средняя скорость / максимальная</t>
  </si>
  <si>
    <t xml:space="preserve">Разгон, повороты, трафик; уточняется симуляцией (шаг 12)</t>
  </si>
  <si>
    <t xml:space="preserve">N_charger_ratio</t>
  </si>
  <si>
    <t xml:space="preserve">Роботов на зарядную станцию</t>
  </si>
  <si>
    <t xml:space="preserve">Opportunity charging</t>
  </si>
  <si>
    <t xml:space="preserve">N_charger_price</t>
  </si>
  <si>
    <t xml:space="preserve">Стоимость зарядной станции с монтажом</t>
  </si>
  <si>
    <t xml:space="preserve">руб.</t>
  </si>
  <si>
    <t xml:space="preserve">Оценка рынка</t>
  </si>
  <si>
    <t xml:space="preserve">7</t>
  </si>
  <si>
    <t xml:space="preserve">N_charger_kw</t>
  </si>
  <si>
    <t xml:space="preserve">Мощность зарядной станции</t>
  </si>
  <si>
    <t xml:space="preserve">Типовые станции 3–10 кВт</t>
  </si>
  <si>
    <t xml:space="preserve">N_sw_pct</t>
  </si>
  <si>
    <t xml:space="preserve">ПО управления флотом, % от оборудования</t>
  </si>
  <si>
    <t xml:space="preserve">Разовая лицензия/внедрение</t>
  </si>
  <si>
    <t xml:space="preserve">N_delivery_pct</t>
  </si>
  <si>
    <t xml:space="preserve">Доставка, % от оборудования</t>
  </si>
  <si>
    <t xml:space="preserve">Дополнения п.6: не включена в цену</t>
  </si>
  <si>
    <t xml:space="preserve">N_pnr_pct</t>
  </si>
  <si>
    <t xml:space="preserve">Пусконаладка, % от оборудования</t>
  </si>
  <si>
    <t xml:space="preserve">N_training</t>
  </si>
  <si>
    <t xml:space="preserve">Обучение персонала</t>
  </si>
  <si>
    <t xml:space="preserve">На проект</t>
  </si>
  <si>
    <t xml:space="preserve">N_capex_reserve</t>
  </si>
  <si>
    <t xml:space="preserve">Резерв CAPEX</t>
  </si>
  <si>
    <t xml:space="preserve">Датасет, легенда: 10%</t>
  </si>
  <si>
    <t xml:space="preserve">N_service_pct</t>
  </si>
  <si>
    <t xml:space="preserve">Сервисный контракт, %/год от оборудования</t>
  </si>
  <si>
    <t xml:space="preserve">Отраслевой диапазон 5–10%</t>
  </si>
  <si>
    <t xml:space="preserve">8</t>
  </si>
  <si>
    <t xml:space="preserve">N_license_pct</t>
  </si>
  <si>
    <t xml:space="preserve">Лицензии ПО, %/год</t>
  </si>
  <si>
    <t xml:space="preserve">N_repair_pct</t>
  </si>
  <si>
    <t xml:space="preserve">Ремонт вне контракта, %/год</t>
  </si>
  <si>
    <t xml:space="preserve">N_energy_price</t>
  </si>
  <si>
    <t xml:space="preserve">Тариф на электроэнергию</t>
  </si>
  <si>
    <t xml:space="preserve">руб./кВт·ч</t>
  </si>
  <si>
    <t xml:space="preserve">Средний тариф юрлиц; уточнить по объекту</t>
  </si>
  <si>
    <t xml:space="preserve">N_battery_life</t>
  </si>
  <si>
    <t xml:space="preserve">Срок службы АКБ</t>
  </si>
  <si>
    <t xml:space="preserve">Датасет, легенда: 3–5 лет</t>
  </si>
  <si>
    <t xml:space="preserve">9, 10</t>
  </si>
  <si>
    <t xml:space="preserve">N_battery_share</t>
  </si>
  <si>
    <t xml:space="preserve">Стоимость замены АКБ, % цены робота</t>
  </si>
  <si>
    <t xml:space="preserve">N_connect</t>
  </si>
  <si>
    <t xml:space="preserve">Связь / Wi-Fi поддержка, руб./год</t>
  </si>
  <si>
    <t xml:space="preserve">руб./год</t>
  </si>
  <si>
    <t xml:space="preserve">N_life</t>
  </si>
  <si>
    <t xml:space="preserve">Срок службы (амортизация, линейно)</t>
  </si>
  <si>
    <t xml:space="preserve">Дополнения п.2.2</t>
  </si>
  <si>
    <t xml:space="preserve">9</t>
  </si>
  <si>
    <t xml:space="preserve">N_raas_pct</t>
  </si>
  <si>
    <t xml:space="preserve">Ставка RaaS, % цены робота в месяц</t>
  </si>
  <si>
    <t xml:space="preserve">Рынок RaaS/лизинга: 2.5–4%/мес; включает сервис, ПО, АКБ</t>
  </si>
  <si>
    <t xml:space="preserve">N_raas_setup</t>
  </si>
  <si>
    <t xml:space="preserve">Установочный платёж RaaS, % цены парка</t>
  </si>
  <si>
    <t xml:space="preserve">N_residual_pct</t>
  </si>
  <si>
    <t xml:space="preserve">Остаточная стоимость оборудования на конец горизонта, % цены</t>
  </si>
  <si>
    <t xml:space="preserve">Консервативно 0 (рекомендация коллеги: учитывать; при наличии данных — ввести)</t>
  </si>
  <si>
    <t xml:space="preserve">10</t>
  </si>
  <si>
    <t xml:space="preserve">N_hire_cost</t>
  </si>
  <si>
    <t xml:space="preserve">Стоимость замены сотрудника, окладов</t>
  </si>
  <si>
    <t xml:space="preserve">окладов</t>
  </si>
  <si>
    <t xml:space="preserve">HR-бенчмарк</t>
  </si>
  <si>
    <t xml:space="preserve">N_discount</t>
  </si>
  <si>
    <t xml:space="preserve">Ставка дисконтирования</t>
  </si>
  <si>
    <t xml:space="preserve">Для NPV / IRR (справочно)</t>
  </si>
  <si>
    <t xml:space="preserve">N_loan_share</t>
  </si>
  <si>
    <t xml:space="preserve">Доля заёмного финансирования</t>
  </si>
  <si>
    <t xml:space="preserve">Дополнения п.2.1: база — собственные средства</t>
  </si>
  <si>
    <t xml:space="preserve">N_loan_rate</t>
  </si>
  <si>
    <t xml:space="preserve">Ставка кредита</t>
  </si>
  <si>
    <t xml:space="preserve">Уточнить на дату расчёта</t>
  </si>
  <si>
    <t xml:space="preserve">N_loan_years</t>
  </si>
  <si>
    <t xml:space="preserve">Срок кредита</t>
  </si>
  <si>
    <t xml:space="preserve">N_pb_good</t>
  </si>
  <si>
    <t xml:space="preserve">Порог «высокой целесообразности», лет</t>
  </si>
  <si>
    <t xml:space="preserve">ТЗ 3.5.7</t>
  </si>
  <si>
    <t xml:space="preserve">N_pb_mid</t>
  </si>
  <si>
    <t xml:space="preserve">Порог «средней целесообразности», лет</t>
  </si>
  <si>
    <t xml:space="preserve">N_sens</t>
  </si>
  <si>
    <t xml:space="preserve">Шаг чувствительности</t>
  </si>
  <si>
    <t xml:space="preserve">ТЗ 3.5.6</t>
  </si>
  <si>
    <t xml:space="preserve">11</t>
  </si>
  <si>
    <t xml:space="preserve">N_loss_k_default</t>
  </si>
  <si>
    <t xml:space="preserve">Потери рабочего времени по умолчанию</t>
  </si>
  <si>
    <t xml:space="preserve">Как у склада (датасет)</t>
  </si>
  <si>
    <t xml:space="preserve">2</t>
  </si>
  <si>
    <t xml:space="preserve">N_sim_tol</t>
  </si>
  <si>
    <t xml:space="preserve">Допуск расхождения расчёта и симуляции</t>
  </si>
  <si>
    <t xml:space="preserve">Правило подтверждения расчёта симуляцией</t>
  </si>
  <si>
    <t xml:space="preserve">12</t>
  </si>
  <si>
    <t xml:space="preserve">ШАГ 1c. КАТАЛОГ РЕШЕНИЙ: цена и статус — СЫРЫЕ из CSV; ТТХ — СЫРЫЕ из docx; коэффициенты замещения/времена операций — ДОПУЩЕНИЯ</t>
  </si>
  <si>
    <t xml:space="preserve">Жёлтая заливка — ТТХ по аналогу или допущение (Дополнения п.4). Добавление решения = новая строка.</t>
  </si>
  <si>
    <t xml:space="preserve">Наименование</t>
  </si>
  <si>
    <t xml:space="preserve">Производитель</t>
  </si>
  <si>
    <t xml:space="preserve">Статус</t>
  </si>
  <si>
    <t xml:space="preserve">УГТ</t>
  </si>
  <si>
    <t xml:space="preserve">Цена, руб. (с НДС)</t>
  </si>
  <si>
    <t xml:space="preserve">Грузоподъёмность, кг</t>
  </si>
  <si>
    <t xml:space="preserve">Макс. скорость, м/с</t>
  </si>
  <si>
    <t xml:space="preserve">Автономность, ч</t>
  </si>
  <si>
    <t xml:space="preserve">Зарядка, мин</t>
  </si>
  <si>
    <t xml:space="preserve">Длина, мм</t>
  </si>
  <si>
    <t xml:space="preserve">Ширина, мм</t>
  </si>
  <si>
    <t xml:space="preserve">Высота, мм</t>
  </si>
  <si>
    <t xml:space="preserve">Темп. мин, °C</t>
  </si>
  <si>
    <t xml:space="preserve">Ср. мощность, кВт</t>
  </si>
  <si>
    <t xml:space="preserve">Загрузка, с</t>
  </si>
  <si>
    <t xml:space="preserve">Разгрузка, с</t>
  </si>
  <si>
    <t xml:space="preserve">Коэф. замещения (справочно; в расчёте — по паре задача×способ, лист 2)</t>
  </si>
  <si>
    <t xml:space="preserve">Улица (1/0)</t>
  </si>
  <si>
    <t xml:space="preserve">Класс задачи</t>
  </si>
  <si>
    <t xml:space="preserve">Способ обработки груза</t>
  </si>
  <si>
    <t xml:space="preserve">Допуск в помещения (1/0)</t>
  </si>
  <si>
    <t xml:space="preserve">ТТХ подтверждены</t>
  </si>
  <si>
    <t xml:space="preserve">Источник ТТХ / примечание</t>
  </si>
  <si>
    <t xml:space="preserve">DMR Carrier P (FMR)</t>
  </si>
  <si>
    <t xml:space="preserve">ООО "Диком-Сервис"</t>
  </si>
  <si>
    <t xml:space="preserve">piloting</t>
  </si>
  <si>
    <t xml:space="preserve">транспорт</t>
  </si>
  <si>
    <t xml:space="preserve">вилы</t>
  </si>
  <si>
    <t xml:space="preserve">Частично</t>
  </si>
  <si>
    <t xml:space="preserve">Docx (пример FMR); зарядка, темп., мощность, времена — допущения</t>
  </si>
  <si>
    <t xml:space="preserve">Ronavi H1500 (AMR, 1500 кг)</t>
  </si>
  <si>
    <t xml:space="preserve">ООО "Ронави Роботикс"</t>
  </si>
  <si>
    <t xml:space="preserve">operation</t>
  </si>
  <si>
    <t xml:space="preserve">платформа</t>
  </si>
  <si>
    <t xml:space="preserve">Да</t>
  </si>
  <si>
    <t xml:space="preserve">Docx; подъёмный AMR — передача паллет через станции → замещение 0.6</t>
  </si>
  <si>
    <t xml:space="preserve">Ronavi M (AMR для тележек, 1200 кг)</t>
  </si>
  <si>
    <t xml:space="preserve">Описание каталога; прочие ТТХ по аналогу H1500 — требуют проверки</t>
  </si>
  <si>
    <t xml:space="preserve">AMR 800 (Морос)</t>
  </si>
  <si>
    <t xml:space="preserve">ООО "Морос"</t>
  </si>
  <si>
    <t xml:space="preserve">ТТХ по аналогу AMR 1500 (описание каталога) — требуют проверки</t>
  </si>
  <si>
    <t xml:space="preserve">RONAVI-SD</t>
  </si>
  <si>
    <t xml:space="preserve">Ronavi SD (AMR, 10 кг)</t>
  </si>
  <si>
    <t xml:space="preserve">кузов</t>
  </si>
  <si>
    <t xml:space="preserve">Docx (пример для медицины); исключается фильтром грузоподъёмности для тележек</t>
  </si>
  <si>
    <t xml:space="preserve">Беспилотный тягач (Cognitive Pilot)</t>
  </si>
  <si>
    <t xml:space="preserve">АО "Когнитив Пилот"</t>
  </si>
  <si>
    <t xml:space="preserve">буксировка</t>
  </si>
  <si>
    <t xml:space="preserve">Docx; скорость рабочая 15 км/ч; гибрид — энергия как эквивалент 6 кВт·ч/ч; сцепка 180 с — допущение</t>
  </si>
  <si>
    <t xml:space="preserve">EVOCARGO N1 (электрогрузовик)</t>
  </si>
  <si>
    <t xml:space="preserve">ООО "Эвокарго"</t>
  </si>
  <si>
    <t xml:space="preserve">Docx; скорость 20 км/ч; перегрузка контейнеров 240 с — допущение</t>
  </si>
  <si>
    <t xml:space="preserve">MARK-2-SE</t>
  </si>
  <si>
    <t xml:space="preserve">MARK 2 SE (робот-уборщик)</t>
  </si>
  <si>
    <t xml:space="preserve">ООО "Р2Б"</t>
  </si>
  <si>
    <t xml:space="preserve">уборка</t>
  </si>
  <si>
    <t xml:space="preserve">щётки</t>
  </si>
  <si>
    <t xml:space="preserve">Docx; процесс «уборка» (расчёт по площади) — не используется в демо</t>
  </si>
  <si>
    <t xml:space="preserve">ШАГ 2. ПРЕДПОСЧЁТ ПАРАМЕТРОВ ПРОЦЕССА из сырых данных шага 1 + объектные допущения</t>
  </si>
  <si>
    <t xml:space="preserve">Столбцы D–F — формулы/допущения по каждому объекту; G — выбранный объект. Всё, что здесь помечено ПРЕДПОСЧИТАН, дальше не вводится, а ссылается.</t>
  </si>
  <si>
    <t xml:space="preserve">Выбрано</t>
  </si>
  <si>
    <t xml:space="preserve">Обоснование / входы</t>
  </si>
  <si>
    <t xml:space="preserve">hours_day</t>
  </si>
  <si>
    <t xml:space="preserve">Часов работы процесса в сутки</t>
  </si>
  <si>
    <t xml:space="preserve">ПРЕДПОСЧИТАН — шаг 1</t>
  </si>
  <si>
    <t xml:space="preserve">Склад: смены × длительность (сырые); Аэропорт: 24/7 (допущение); Мед: окно 06–22 (допущение)</t>
  </si>
  <si>
    <t xml:space="preserve">Смен персонала эксплуатации</t>
  </si>
  <si>
    <t xml:space="preserve">Аэропорт: 3 смены (допущение)</t>
  </si>
  <si>
    <t xml:space="preserve">ops_day</t>
  </si>
  <si>
    <t xml:space="preserve">Объём операций процесса в сутки</t>
  </si>
  <si>
    <t xml:space="preserve">оп./сут</t>
  </si>
  <si>
    <t xml:space="preserve">Склад: приёмка+отгрузка; Аэропорт: рейсов×2 направления; Мед: питание+бельё+отходы (×2: доставка и возврат)+расходники</t>
  </si>
  <si>
    <t xml:space="preserve">Пиковый коэффициент</t>
  </si>
  <si>
    <t xml:space="preserve">Склад — сырой; Аэропорт — пик задан напрямую (=1); Мед — два пиковых окна (допущение)</t>
  </si>
  <si>
    <t xml:space="preserve">peak_ops_h</t>
  </si>
  <si>
    <t xml:space="preserve">Пиковая интенсивность (до учёта доли автоматизации)</t>
  </si>
  <si>
    <t xml:space="preserve">оп./ч</t>
  </si>
  <si>
    <t xml:space="preserve">ПРЕДПОСЧИТАН — шаг 2</t>
  </si>
  <si>
    <t xml:space="preserve">Аэропорт: пиковых рейсов/ч × 2 (сырой)</t>
  </si>
  <si>
    <t xml:space="preserve">auto_share</t>
  </si>
  <si>
    <t xml:space="preserve">Доля автоматизируемых операций</t>
  </si>
  <si>
    <t xml:space="preserve">Склад: 1 − негабарит (сырой); Аэропорт/Мед: 10% операций остаются ручными (допущение)</t>
  </si>
  <si>
    <t xml:space="preserve">unit_mass</t>
  </si>
  <si>
    <t xml:space="preserve">Масса единицы груза</t>
  </si>
  <si>
    <t xml:space="preserve">Аэропорт: багаж одного рейса; Мед: тяжелейшая тележка</t>
  </si>
  <si>
    <t xml:space="preserve">divisible</t>
  </si>
  <si>
    <t xml:space="preserve">Груз делимый на рейсы (1/0)</t>
  </si>
  <si>
    <t xml:space="preserve">1/0</t>
  </si>
  <si>
    <t xml:space="preserve">Паллет и тележка неделимы; багаж рейса делим</t>
  </si>
  <si>
    <t xml:space="preserve">L</t>
  </si>
  <si>
    <t xml:space="preserve">Средняя длина маршрута в одну сторону</t>
  </si>
  <si>
    <t xml:space="preserve">Склад: √площади зоны; Аэропорт: 2√площади перрона (допущения, калибруются схемой на шаге 12); Мед — сырой</t>
  </si>
  <si>
    <t xml:space="preserve">speed_cap</t>
  </si>
  <si>
    <t xml:space="preserve">Ограничение скорости на объекте</t>
  </si>
  <si>
    <t xml:space="preserve">м/с</t>
  </si>
  <si>
    <t xml:space="preserve">Зоны с людьми / перрон 15 км/ч / коридоры</t>
  </si>
  <si>
    <t xml:space="preserve">lift_share</t>
  </si>
  <si>
    <t xml:space="preserve">Доля рейсов через лифт</t>
  </si>
  <si>
    <t xml:space="preserve">Мед: 9 этажей</t>
  </si>
  <si>
    <t xml:space="preserve">lift_time</t>
  </si>
  <si>
    <t xml:space="preserve">Ожидание + проезд лифта (один проход)</t>
  </si>
  <si>
    <t xml:space="preserve">с</t>
  </si>
  <si>
    <t xml:space="preserve">Мед: 4 лифта на 9 этажей — узкое место; уточняется симуляцией</t>
  </si>
  <si>
    <t xml:space="preserve">aisle</t>
  </si>
  <si>
    <t xml:space="preserve">Минимальная ширина прохода</t>
  </si>
  <si>
    <t xml:space="preserve">Аэропорт: служебные проезды (допущение)</t>
  </si>
  <si>
    <t xml:space="preserve">clearance</t>
  </si>
  <si>
    <t xml:space="preserve">Запас по ширине</t>
  </si>
  <si>
    <t xml:space="preserve">Мед: разминовка с каталкой</t>
  </si>
  <si>
    <t xml:space="preserve">outdoor_req</t>
  </si>
  <si>
    <t xml:space="preserve">Требуется улица (1/0)</t>
  </si>
  <si>
    <t xml:space="preserve">Перрон — открытая зона</t>
  </si>
  <si>
    <t xml:space="preserve">task_class</t>
  </si>
  <si>
    <t xml:space="preserve">Класс задачи процесса</t>
  </si>
  <si>
    <t xml:space="preserve">транспорт (рейсы) / уборка (площадь)</t>
  </si>
  <si>
    <t xml:space="preserve">handling_req</t>
  </si>
  <si>
    <t xml:space="preserve">Допустимые способы обработки груза (через ;)</t>
  </si>
  <si>
    <t xml:space="preserve">вилы;платформа</t>
  </si>
  <si>
    <t xml:space="preserve">буксировка;кузов</t>
  </si>
  <si>
    <t xml:space="preserve">платформа;кузов</t>
  </si>
  <si>
    <t xml:space="preserve">Склад: паллет с пола — вилы, платформа — через станции; Аэропорт: буксировка тележек/кузов; Мед: подъём тележки платформой / кузов</t>
  </si>
  <si>
    <t xml:space="preserve">indoor_req</t>
  </si>
  <si>
    <t xml:space="preserve">Работа внутри помещений (1/0)</t>
  </si>
  <si>
    <t xml:space="preserve">Уличные гибриды/грузовики не допускаются в помещения</t>
  </si>
  <si>
    <t xml:space="preserve">repl_forks</t>
  </si>
  <si>
    <t xml:space="preserve">Коэф. замещения труда: вилы</t>
  </si>
  <si>
    <t xml:space="preserve">Полный цикл без станций</t>
  </si>
  <si>
    <t xml:space="preserve">repl_platform</t>
  </si>
  <si>
    <t xml:space="preserve">Коэф. замещения труда: платформа</t>
  </si>
  <si>
    <t xml:space="preserve">Склад: нужны станции передачи; Мед: тележка подхватывается напрямую</t>
  </si>
  <si>
    <t xml:space="preserve">repl_tow</t>
  </si>
  <si>
    <t xml:space="preserve">Коэф. замещения труда: буксировка</t>
  </si>
  <si>
    <t xml:space="preserve">Сцепка остаётся ручной</t>
  </si>
  <si>
    <t xml:space="preserve">repl_body</t>
  </si>
  <si>
    <t xml:space="preserve">Коэф. замещения труда: кузов</t>
  </si>
  <si>
    <t xml:space="preserve">Ручная погрузка/выгрузка кузова</t>
  </si>
  <si>
    <t xml:space="preserve">temp_min</t>
  </si>
  <si>
    <t xml:space="preserve">Мин. температура эксплуатации</t>
  </si>
  <si>
    <t xml:space="preserve">Склад/Мед: отапливаемые помещения (допущение)</t>
  </si>
  <si>
    <t xml:space="preserve">func1</t>
  </si>
  <si>
    <t xml:space="preserve">Доля функции группы 1, приходящаяся на процесс</t>
  </si>
  <si>
    <t xml:space="preserve">Склад: вся работа операторов; Аэропорт: доля водителей тягачей в рампе; Мед: транспортировка у санитаров</t>
  </si>
  <si>
    <t xml:space="preserve">func2</t>
  </si>
  <si>
    <t xml:space="preserve">Доля функции группы 2</t>
  </si>
  <si>
    <t xml:space="preserve">Мед: пищеблок — только транспорт</t>
  </si>
  <si>
    <t xml:space="preserve">func3</t>
  </si>
  <si>
    <t xml:space="preserve">Доля функции группы 3</t>
  </si>
  <si>
    <t xml:space="preserve">Мед: прачечная</t>
  </si>
  <si>
    <t xml:space="preserve">g3_sal</t>
  </si>
  <si>
    <t xml:space="preserve">Оклад группы 3</t>
  </si>
  <si>
    <t xml:space="preserve">Мед: прачечная = санитар (в датасете нет)</t>
  </si>
  <si>
    <t xml:space="preserve">fte_target</t>
  </si>
  <si>
    <t xml:space="preserve">Целевые FTE процесса</t>
  </si>
  <si>
    <t xml:space="preserve">FTE</t>
  </si>
  <si>
    <t xml:space="preserve">Σ численность × доля функции × доля автоматизируемых</t>
  </si>
  <si>
    <t xml:space="preserve">labor_target</t>
  </si>
  <si>
    <t xml:space="preserve">Годовой ФОТ целевых FTE (с начислениями)</t>
  </si>
  <si>
    <t xml:space="preserve">base_labor</t>
  </si>
  <si>
    <t xml:space="preserve">Годовой ФОТ всего персонала процесса (база)</t>
  </si>
  <si>
    <t xml:space="preserve">sal_target</t>
  </si>
  <si>
    <t xml:space="preserve">Средний оклад целевого персонала</t>
  </si>
  <si>
    <t xml:space="preserve">turnover</t>
  </si>
  <si>
    <t xml:space="preserve">Текучесть целевого персонала</t>
  </si>
  <si>
    <t xml:space="preserve">Склад: нет в датасете → 0</t>
  </si>
  <si>
    <t xml:space="preserve">loss_k</t>
  </si>
  <si>
    <t xml:space="preserve">Потери рабочего времени</t>
  </si>
  <si>
    <t xml:space="preserve">Аэропорт/Мед: норматив по умолчанию</t>
  </si>
  <si>
    <t xml:space="preserve">fleet_per_shift</t>
  </si>
  <si>
    <t xml:space="preserve">Операторов флота на смену</t>
  </si>
  <si>
    <t xml:space="preserve">fleet_sal</t>
  </si>
  <si>
    <t xml:space="preserve">Оклад оператора флота</t>
  </si>
  <si>
    <t xml:space="preserve">На уровне группы 1</t>
  </si>
  <si>
    <t xml:space="preserve">site_pct</t>
  </si>
  <si>
    <t xml:space="preserve">Подготовка объекта, % от стоимости парка</t>
  </si>
  <si>
    <t xml:space="preserve">Разметка/Wi-Fi; СКУД airside; API лифтов</t>
  </si>
  <si>
    <t xml:space="preserve">integration</t>
  </si>
  <si>
    <t xml:space="preserve">Интеграция с ИТ-системами объекта</t>
  </si>
  <si>
    <t xml:space="preserve">WMS/1С; AODB/BHS; МИС/лифты</t>
  </si>
  <si>
    <t xml:space="preserve">consum_per_robot</t>
  </si>
  <si>
    <t xml:space="preserve">Расходники на робота в год</t>
  </si>
  <si>
    <t xml:space="preserve">Мед: дезинфекция 2 раза/сут × 120 руб.</t>
  </si>
  <si>
    <t xml:space="preserve">other_effects</t>
  </si>
  <si>
    <t xml:space="preserve">Иные измеримые эффекты</t>
  </si>
  <si>
    <t xml:space="preserve">Ошибки/потери — ввод пользователя</t>
  </si>
  <si>
    <t xml:space="preserve">Доступная мощность</t>
  </si>
  <si>
    <t xml:space="preserve">Бюджет CAPEX</t>
  </si>
  <si>
    <t xml:space="preserve">Горизонт расчёта</t>
  </si>
  <si>
    <t xml:space="preserve">ШАГ 3. РЕШЕНИЕ: ТТХ, ЦЕНА, ПРОВЕРКА ПРИМЕНИМОСТИ</t>
  </si>
  <si>
    <t xml:space="preserve">Столбцы F–H — три сценария выбранного объекта. Ключевое ограничение → решение не рекомендуется (ТЗ 3.4.3); причина выводится текстом (ТЗ 3.4.2).</t>
  </si>
  <si>
    <t xml:space="preserve">ВХОДНЫЕ ПАРАМЕТРЫ ШАГА (откуда берутся и какого типа)</t>
  </si>
  <si>
    <t xml:space="preserve">Тип происхождения</t>
  </si>
  <si>
    <t xml:space="preserve">Источник (шаг / лист)</t>
  </si>
  <si>
    <t xml:space="preserve">Значение (Покупка A)</t>
  </si>
  <si>
    <t xml:space="preserve">Значение (RaaS A)</t>
  </si>
  <si>
    <t xml:space="preserve">Значение (Покупка B)</t>
  </si>
  <si>
    <t xml:space="preserve">Код решения (по сценарию, из 0_Легенда)</t>
  </si>
  <si>
    <t xml:space="preserve">ПРЕДПОСЧИТАН — шаг 0</t>
  </si>
  <si>
    <t xml:space="preserve">0_Легенда: SEL_A / SEL_B</t>
  </si>
  <si>
    <t xml:space="preserve">Модель приобретения</t>
  </si>
  <si>
    <t xml:space="preserve">Сценарий</t>
  </si>
  <si>
    <t xml:space="preserve">Покупка</t>
  </si>
  <si>
    <t xml:space="preserve">RaaS</t>
  </si>
  <si>
    <t xml:space="preserve">2_Процесс: unit_mass</t>
  </si>
  <si>
    <t xml:space="preserve">Груз делимый</t>
  </si>
  <si>
    <t xml:space="preserve">2_Процесс: divisible</t>
  </si>
  <si>
    <t xml:space="preserve">Мин. ширина прохода / запас</t>
  </si>
  <si>
    <t xml:space="preserve">2_Процесс: aisle, clearance</t>
  </si>
  <si>
    <t xml:space="preserve">Требуется улица / мин. температура</t>
  </si>
  <si>
    <t xml:space="preserve">2_Процесс: outdoor_req, temp_min</t>
  </si>
  <si>
    <t xml:space="preserve">Класс задачи / допустимые способы обработки / работа в помещении</t>
  </si>
  <si>
    <t xml:space="preserve">2_Процесс: task_class, handling_req, indoor_req</t>
  </si>
  <si>
    <t xml:space="preserve">Коэф. замещения по способу обработки</t>
  </si>
  <si>
    <t xml:space="preserve">2_Процесс: repl_forks, repl_platform, repl_tow, repl_body</t>
  </si>
  <si>
    <t xml:space="preserve">РАСЧЁТ ШАГА</t>
  </si>
  <si>
    <t xml:space="preserve">Ключ</t>
  </si>
  <si>
    <t xml:space="preserve">Показатель</t>
  </si>
  <si>
    <t xml:space="preserve">Формула (пояснение)</t>
  </si>
  <si>
    <t xml:space="preserve">Покупка A</t>
  </si>
  <si>
    <t xml:space="preserve">RaaS A</t>
  </si>
  <si>
    <t xml:space="preserve">Покупка B</t>
  </si>
  <si>
    <t xml:space="preserve">3.1 ТТХ и цена из каталога (шаг 1c)</t>
  </si>
  <si>
    <t xml:space="preserve">sol_name</t>
  </si>
  <si>
    <t xml:space="preserve">INDEX(Cat_name,MATCH($6,Cat_code,0))</t>
  </si>
  <si>
    <t xml:space="preserve">sol_status</t>
  </si>
  <si>
    <t xml:space="preserve">Статус (СЫРОЙ — CSV)</t>
  </si>
  <si>
    <t xml:space="preserve">INDEX(Cat_status,MATCH($6,Cat_code,0))</t>
  </si>
  <si>
    <t xml:space="preserve">sol_conf</t>
  </si>
  <si>
    <t xml:space="preserve">INDEX(Cat_conf,MATCH($6,Cat_code,0))</t>
  </si>
  <si>
    <t xml:space="preserve">price</t>
  </si>
  <si>
    <t xml:space="preserve">Цена изделия (СЫРОЙ — CSV)</t>
  </si>
  <si>
    <t xml:space="preserve">INDEX(Cat_price,MATCH($6,Cat_code,0))</t>
  </si>
  <si>
    <t xml:space="preserve">cap</t>
  </si>
  <si>
    <t xml:space="preserve">Грузоподъёмность (СЫРОЙ — docx)</t>
  </si>
  <si>
    <t xml:space="preserve">INDEX(Cat_cap,MATCH($6,Cat_code,0))</t>
  </si>
  <si>
    <t xml:space="preserve">vmax</t>
  </si>
  <si>
    <t xml:space="preserve">Макс. скорость (СЫРОЙ — docx)</t>
  </si>
  <si>
    <t xml:space="preserve">INDEX(Cat_vmax,MATCH($6,Cat_code,0))</t>
  </si>
  <si>
    <t xml:space="preserve">tload</t>
  </si>
  <si>
    <t xml:space="preserve">Время загрузки (ДОПУЩЕНИЕ)</t>
  </si>
  <si>
    <t xml:space="preserve">INDEX(Cat_tload,MATCH($6,Cat_code,0))</t>
  </si>
  <si>
    <t xml:space="preserve">tunload</t>
  </si>
  <si>
    <t xml:space="preserve">Время разгрузки (ДОПУЩЕНИЕ)</t>
  </si>
  <si>
    <t xml:space="preserve">INDEX(Cat_tunload,MATCH($6,Cat_code,0))</t>
  </si>
  <si>
    <t xml:space="preserve">power</t>
  </si>
  <si>
    <t xml:space="preserve">Мощность (ДОПУЩЕНИЕ)</t>
  </si>
  <si>
    <t xml:space="preserve">INDEX(Cat_power,MATCH($6,Cat_code,0))</t>
  </si>
  <si>
    <t xml:space="preserve">handling</t>
  </si>
  <si>
    <t xml:space="preserve">Способ обработки груза (СЫРОЙ — docx/каталог)</t>
  </si>
  <si>
    <t xml:space="preserve">INDEX(Cat_handling,MATCH($6,Cat_code,0))</t>
  </si>
  <si>
    <t xml:space="preserve">indoor</t>
  </si>
  <si>
    <t xml:space="preserve">Допуск в помещения</t>
  </si>
  <si>
    <t xml:space="preserve">INDEX(Cat_indoor,MATCH($6,Cat_code,0))</t>
  </si>
  <si>
    <t xml:space="preserve">task</t>
  </si>
  <si>
    <t xml:space="preserve">Класс задачи решения</t>
  </si>
  <si>
    <t xml:space="preserve">INDEX(Cat_task,MATCH($6,Cat_code,0))</t>
  </si>
  <si>
    <t xml:space="preserve">repl</t>
  </si>
  <si>
    <t xml:space="preserve">Коэф. замещения труда = по паре задача × способ обработки (ПРЕДПОСЧИТАН — шаг 2)</t>
  </si>
  <si>
    <t xml:space="preserve">IF([handling]="вилы",P_repl_forks,IF([handling]="платформа",P_repl_platform,IF([handling]="буксировка",P_repl_tow,IF([handling]="кузов",P_repl_body,0))))</t>
  </si>
  <si>
    <t xml:space="preserve">wid</t>
  </si>
  <si>
    <t xml:space="preserve">Ширина</t>
  </si>
  <si>
    <t xml:space="preserve">мм</t>
  </si>
  <si>
    <t xml:space="preserve">INDEX(Cat_wid,MATCH($6,Cat_code,0))</t>
  </si>
  <si>
    <t xml:space="preserve">tmin</t>
  </si>
  <si>
    <t xml:space="preserve">Мин. температура</t>
  </si>
  <si>
    <t xml:space="preserve">INDEX(Cat_tmin,MATCH($6,Cat_code,0))</t>
  </si>
  <si>
    <t xml:space="preserve">outdoor</t>
  </si>
  <si>
    <t xml:space="preserve">Улица</t>
  </si>
  <si>
    <t xml:space="preserve">INDEX(Cat_outdoor,MATCH($6,Cat_code,0))</t>
  </si>
  <si>
    <t xml:space="preserve">auton</t>
  </si>
  <si>
    <t xml:space="preserve">Автономность (для шага 12)</t>
  </si>
  <si>
    <t xml:space="preserve">INDEX(Cat_auton,MATCH($6,Cat_code,0))</t>
  </si>
  <si>
    <t xml:space="preserve">charge</t>
  </si>
  <si>
    <t xml:space="preserve">Время зарядки (для шага 12)</t>
  </si>
  <si>
    <t xml:space="preserve">мин</t>
  </si>
  <si>
    <t xml:space="preserve">INDEX(Cat_charge,MATCH($6,Cat_code,0))</t>
  </si>
  <si>
    <t xml:space="preserve">3.2 Проверка применимости</t>
  </si>
  <si>
    <t xml:space="preserve">chk_task</t>
  </si>
  <si>
    <t xml:space="preserve">Класс задачи совпадает</t>
  </si>
  <si>
    <t xml:space="preserve">IF([task]=P_task_class,"ОК","НЕТ")</t>
  </si>
  <si>
    <t xml:space="preserve">chk_handling</t>
  </si>
  <si>
    <t xml:space="preserve">Способ обработки допустим для задачи</t>
  </si>
  <si>
    <t xml:space="preserve">IF(ISNUMBER(SEARCH([handling],P_handling_req)),"ОК","НЕТ")</t>
  </si>
  <si>
    <t xml:space="preserve">chk_indoor</t>
  </si>
  <si>
    <t xml:space="preserve">IF(AND(P_indoor_req=1,[indoor]=0),"НЕТ","ОК")</t>
  </si>
  <si>
    <t xml:space="preserve">chk_cap</t>
  </si>
  <si>
    <t xml:space="preserve">Грузоподъёмность: неделимый груз и cap &lt; масса → НЕТ</t>
  </si>
  <si>
    <t xml:space="preserve">IF(AND(P_divisible=0,[cap]&lt;P_unit_mass),"НЕТ","ОК")</t>
  </si>
  <si>
    <t xml:space="preserve">chk_aisle</t>
  </si>
  <si>
    <t xml:space="preserve">Проход: ширина + запас ≤ мин. проход</t>
  </si>
  <si>
    <t xml:space="preserve">IF([wid]/1000+P_clearance&lt;=P_aisle,"ОК","НЕТ")</t>
  </si>
  <si>
    <t xml:space="preserve">chk_env</t>
  </si>
  <si>
    <t xml:space="preserve">Условия: улица и температура</t>
  </si>
  <si>
    <t xml:space="preserve">IF(P_outdoor_req=1,IF(AND([outdoor]=1,[tmin]&lt;=P_temp_min),"ОК","НЕТ"),"ОК")</t>
  </si>
  <si>
    <t xml:space="preserve">feasible</t>
  </si>
  <si>
    <t xml:space="preserve">ПРИМЕНИМО (1/0)</t>
  </si>
  <si>
    <t xml:space="preserve">IF(AND([chk_task]="ОК",[chk_handling]="ОК",[chk_indoor]="ОК",[chk_cap]="ОК",[chk_aisle]="ОК",[chk_env]="ОК"),1,0)</t>
  </si>
  <si>
    <t xml:space="preserve">feas_text</t>
  </si>
  <si>
    <t xml:space="preserve">Причина включения / исключения</t>
  </si>
  <si>
    <t xml:space="preserve">IF([feasible]=1,"Применимо: ключевые ограничения выполнены","Не применимо: "&amp;IF([chk_task]="НЕТ","класс задачи; ","")&amp;IF([chk_handling]="НЕТ","способ обработки груза; ","")&amp;IF([chk_indoor]="НЕТ","не допущен в помещения; ","")&amp;IF([chk_cap]="НЕТ","грузоподъёмность; ","")&amp;IF([chk_aisle]="НЕТ","габариты/проход; ","")&amp;IF([chk_env]="НЕТ","условия эксплуатации; ",""))</t>
  </si>
  <si>
    <t xml:space="preserve">is_purchase</t>
  </si>
  <si>
    <t xml:space="preserve">Модель «Покупка» = 1 / RaaS = 0</t>
  </si>
  <si>
    <t xml:space="preserve">IF($7="Покупка",1,0)</t>
  </si>
  <si>
    <t xml:space="preserve">ВЫХОДЫ ШАГА → куда передаются</t>
  </si>
  <si>
    <t xml:space="preserve">price, cap, vmax, tload, tunload, power, repl → шаги 4, 5, 7, 8, 9; feasible → все последующие шаги; auton, charge → шаг 12 (симуляция).</t>
  </si>
  <si>
    <t xml:space="preserve">ШАГ 4. ПОТРЕБНОСТЬ В ОПЕРАЦИЯХ (ТЗ 3.5.2: пиковая потребность)</t>
  </si>
  <si>
    <t xml:space="preserve">Все входы — предпосчитанные на шаге 2, кроме грузоподъёмности решения (сырая ТТХ).</t>
  </si>
  <si>
    <t xml:space="preserve">Объём операций в сутки</t>
  </si>
  <si>
    <t xml:space="preserve">2_Процесс: ops_day</t>
  </si>
  <si>
    <t xml:space="preserve">2_Процесс: auto_share</t>
  </si>
  <si>
    <t xml:space="preserve">Пиковая интенсивность</t>
  </si>
  <si>
    <t xml:space="preserve">2_Процесс: peak_ops_h</t>
  </si>
  <si>
    <t xml:space="preserve">Часов работы в сутки</t>
  </si>
  <si>
    <t xml:space="preserve">2_Процесс: hours_day</t>
  </si>
  <si>
    <t xml:space="preserve">Масса единицы груза / делимость</t>
  </si>
  <si>
    <t xml:space="preserve">2_Процесс: unit_mass, divisible</t>
  </si>
  <si>
    <t xml:space="preserve">Грузоподъёмность решения</t>
  </si>
  <si>
    <t xml:space="preserve">3_Решение_фильтры: cap</t>
  </si>
  <si>
    <t xml:space="preserve">ops_auto</t>
  </si>
  <si>
    <t xml:space="preserve">Автоматизируемых операций в сутки = объём × доля</t>
  </si>
  <si>
    <t xml:space="preserve">P_ops_day*P_auto_share</t>
  </si>
  <si>
    <t xml:space="preserve">trips_per_op</t>
  </si>
  <si>
    <t xml:space="preserve">Рейсов робота на операцию = делимый ? ROUNDUP(масса/cap) : 1</t>
  </si>
  <si>
    <t xml:space="preserve">рейсов</t>
  </si>
  <si>
    <t xml:space="preserve">IF(P_divisible=1,ROUNDUP(P_unit_mass/MAX([шаг 3: cap],1),0),1)</t>
  </si>
  <si>
    <t xml:space="preserve">avg_h</t>
  </si>
  <si>
    <t xml:space="preserve">Среднечасовая потребность</t>
  </si>
  <si>
    <t xml:space="preserve">[ops_auto]/P_hours_day</t>
  </si>
  <si>
    <t xml:space="preserve">peak_h</t>
  </si>
  <si>
    <t xml:space="preserve">Пиковая потребность (автоматизируемая)</t>
  </si>
  <si>
    <t xml:space="preserve">P_peak_ops_h*P_auto_share</t>
  </si>
  <si>
    <t xml:space="preserve">peak_trips</t>
  </si>
  <si>
    <t xml:space="preserve">ПИКОВАЯ ПОТРЕБНОСТЬ В РЕЙСАХ РОБОТА</t>
  </si>
  <si>
    <t xml:space="preserve">[peak_h]*[trips_per_op]</t>
  </si>
  <si>
    <t xml:space="preserve">trips_day</t>
  </si>
  <si>
    <t xml:space="preserve">Рейсов робота в сутки (для симуляции)</t>
  </si>
  <si>
    <t xml:space="preserve">[ops_auto]*[trips_per_op]</t>
  </si>
  <si>
    <t xml:space="preserve">peak_trips → шаг 5 (размер парка); avg_h, trips_day, trips_per_op → шаг 12 (профиль заявок симуляции).</t>
  </si>
  <si>
    <t xml:space="preserve">ШАГ 5. ЦИКЛ РЕЙСА, ПРОИЗВОДИТЕЛЬНОСТЬ, СОСТАВ ПАРКА</t>
  </si>
  <si>
    <t xml:space="preserve">Именно эти величины (v_eff, t_cycle, n_robots, n_chargers, util_avg) должна воспроизвести симуляция (шаг 12).</t>
  </si>
  <si>
    <t xml:space="preserve">Длина маршрута</t>
  </si>
  <si>
    <t xml:space="preserve">2_Процесс: L (склад/аэропорт — допущение; мед — сырой)</t>
  </si>
  <si>
    <t xml:space="preserve">Ограничение скорости объекта</t>
  </si>
  <si>
    <t xml:space="preserve">2_Процесс: speed_cap</t>
  </si>
  <si>
    <t xml:space="preserve">Макс. скорость решения</t>
  </si>
  <si>
    <t xml:space="preserve">3_Решение_фильтры: vmax</t>
  </si>
  <si>
    <t xml:space="preserve">Времена загрузки / разгрузки</t>
  </si>
  <si>
    <t xml:space="preserve">3_Решение_фильтры: tload, tunload</t>
  </si>
  <si>
    <t xml:space="preserve">Лифт: доля рейсов / время прохода</t>
  </si>
  <si>
    <t xml:space="preserve">2_Процесс: lift_share, lift_time</t>
  </si>
  <si>
    <t xml:space="preserve">Коэффициенты: скорость 0.6, загрузка 0.8, готовность 0.95, резерв 0.15</t>
  </si>
  <si>
    <t xml:space="preserve">1b_Нормативы: N_kv (допущение), N_util, N_reserve (нормативы), N_avail (допущение)</t>
  </si>
  <si>
    <t xml:space="preserve">Пиковая потребность в рейсах</t>
  </si>
  <si>
    <t xml:space="preserve">ПРЕДПОСЧИТАН — шаг 4</t>
  </si>
  <si>
    <t xml:space="preserve">4_Потребность: peak_trips</t>
  </si>
  <si>
    <t xml:space="preserve">Роботов на станцию / мощность станции / доступная мощность</t>
  </si>
  <si>
    <t xml:space="preserve">1b_Нормативы; 2_Процесс: power_kw</t>
  </si>
  <si>
    <t xml:space="preserve">v_eff</t>
  </si>
  <si>
    <t xml:space="preserve">Эксплуатационная скорость = MIN(vmax; лимит) × N_kv</t>
  </si>
  <si>
    <t xml:space="preserve">MIN([шаг 3: vmax],P_speed_cap)*N_kv</t>
  </si>
  <si>
    <t xml:space="preserve">t_move</t>
  </si>
  <si>
    <t xml:space="preserve">Время движения за цикл = 2L / v_eff</t>
  </si>
  <si>
    <t xml:space="preserve">2*P_L/[v_eff]</t>
  </si>
  <si>
    <t xml:space="preserve">t_lift</t>
  </si>
  <si>
    <t xml:space="preserve">Время лифта за цикл = доля × 2 × время</t>
  </si>
  <si>
    <t xml:space="preserve">P_lift_share*2*P_lift_time</t>
  </si>
  <si>
    <t xml:space="preserve">t_cycle</t>
  </si>
  <si>
    <t xml:space="preserve">ПОЛНЫЙ ЦИКЛ РЕЙСА</t>
  </si>
  <si>
    <t xml:space="preserve">[t_move]+[шаг 3: tload]+[шаг 3: tunload]+[t_lift]</t>
  </si>
  <si>
    <t xml:space="preserve">cycles_h</t>
  </si>
  <si>
    <t xml:space="preserve">Циклов в час (номинально)</t>
  </si>
  <si>
    <t xml:space="preserve">3600/[t_cycle]</t>
  </si>
  <si>
    <t xml:space="preserve">eff_prod</t>
  </si>
  <si>
    <t xml:space="preserve">ЭФФЕКТИВНАЯ ПРОИЗВОДИТЕЛЬНОСТЬ РОБОТА = циклы × N_util × N_avail</t>
  </si>
  <si>
    <t xml:space="preserve">[cycles_h]*N_util*N_avail</t>
  </si>
  <si>
    <t xml:space="preserve">n_robots</t>
  </si>
  <si>
    <t xml:space="preserve">КОЛИЧЕСТВО РОБОТОВ = ROUNDUP(пик / произв. × (1+резерв))</t>
  </si>
  <si>
    <t xml:space="preserve">IF([шаг 3: feasible]=1,MAX(1,ROUNDUP([шаг 4: peak_trips]/[eff_prod]*(1+N_reserve),0)),0)</t>
  </si>
  <si>
    <t xml:space="preserve">n_chargers</t>
  </si>
  <si>
    <t xml:space="preserve">ЗАРЯДНЫХ СТАНЦИЙ = ROUNDUP(роботов / на станцию)</t>
  </si>
  <si>
    <t xml:space="preserve">ROUNDUP([n_robots]/N_charger_ratio,0)</t>
  </si>
  <si>
    <t xml:space="preserve">fleet_cap</t>
  </si>
  <si>
    <t xml:space="preserve">Пропускная способность парка (≥ пиковой потребности)</t>
  </si>
  <si>
    <t xml:space="preserve">[n_robots]*[eff_prod]</t>
  </si>
  <si>
    <t xml:space="preserve">util_avg</t>
  </si>
  <si>
    <t xml:space="preserve">Среднесуточная загрузка парка</t>
  </si>
  <si>
    <t xml:space="preserve">%</t>
  </si>
  <si>
    <t xml:space="preserve">IF([n_robots]&gt;0,[шаг 4: avg_h]*[шаг 4: trips_per_op]/([n_robots]*[cycles_h]),0)</t>
  </si>
  <si>
    <t xml:space="preserve">power_need</t>
  </si>
  <si>
    <t xml:space="preserve">Требуемая мощность станций</t>
  </si>
  <si>
    <t xml:space="preserve">[n_chargers]*N_charger_kw</t>
  </si>
  <si>
    <t xml:space="preserve">chk_power</t>
  </si>
  <si>
    <t xml:space="preserve">Проверка электроснабжения</t>
  </si>
  <si>
    <t xml:space="preserve">IF([power_need]&lt;=P_power_kw,"ОК","Требуется усиление сети")</t>
  </si>
  <si>
    <t xml:space="preserve">n_robots, n_chargers → шаги 7, 8; t_cycle, eff_prod, fleet_cap, util_avg → шаг 12 (контрольные значения для симуляции).</t>
  </si>
  <si>
    <t xml:space="preserve">ШАГ 6. БАЗОВЫЙ СЦЕНАРИЙ БЕЗ РОБОТИЗАЦИИ</t>
  </si>
  <si>
    <t xml:space="preserve">Не зависит от решения — одна колонка.</t>
  </si>
  <si>
    <t xml:space="preserve">Значение / ссылка</t>
  </si>
  <si>
    <t xml:space="preserve">Численность и оклады целевых групп</t>
  </si>
  <si>
    <t xml:space="preserve">чел., руб./мес.</t>
  </si>
  <si>
    <t xml:space="preserve">1_Сырые_данные: g1_n, g1_sal, g2_n, g2_sal, g3_n</t>
  </si>
  <si>
    <t xml:space="preserve">Доли функции групп в процессе</t>
  </si>
  <si>
    <t xml:space="preserve">2_Процесс: func1, func2, func3</t>
  </si>
  <si>
    <t xml:space="preserve">Коэффициент ФОТ</t>
  </si>
  <si>
    <t xml:space="preserve">1b_Нормативы: N_fot</t>
  </si>
  <si>
    <t xml:space="preserve">ФОТ персонала процесса = Σ численность × доля функции × оклад × 12 × N_fot</t>
  </si>
  <si>
    <t xml:space="preserve">P_base_labor</t>
  </si>
  <si>
    <t xml:space="preserve">base_other</t>
  </si>
  <si>
    <t xml:space="preserve">Прочие текущие затраты процесса (ввод; в датасете нет)</t>
  </si>
  <si>
    <t xml:space="preserve">0</t>
  </si>
  <si>
    <t xml:space="preserve">base_opex</t>
  </si>
  <si>
    <t xml:space="preserve">OPEX БАЗОВОГО СЦЕНАРИЯ</t>
  </si>
  <si>
    <t xml:space="preserve">[base_labor]+[base_other]</t>
  </si>
  <si>
    <t xml:space="preserve">base_tco</t>
  </si>
  <si>
    <t xml:space="preserve">Совокупные затраты базы за горизонт</t>
  </si>
  <si>
    <t xml:space="preserve">[base_opex]*P_horizon</t>
  </si>
  <si>
    <t xml:space="preserve">base_opex, base_tco → шаг 9 (ΔOPEX, эффект, TCO).</t>
  </si>
  <si>
    <t xml:space="preserve">ШАГ 7. CAPEX ПО СТАТЬЯМ (ТЗ 3.5.2)</t>
  </si>
  <si>
    <t xml:space="preserve">Оборудование + инфраструктура + ПО + интеграция + доставка + ПНР + обучение + резерв.</t>
  </si>
  <si>
    <t xml:space="preserve">Количество роботов / станций</t>
  </si>
  <si>
    <t xml:space="preserve">ПРЕДПОСЧИТАН — шаг 5</t>
  </si>
  <si>
    <t xml:space="preserve">5_Парк: n_robots, n_chargers</t>
  </si>
  <si>
    <t xml:space="preserve">Цена изделия</t>
  </si>
  <si>
    <t xml:space="preserve">3_Решение_фильтры: price</t>
  </si>
  <si>
    <t xml:space="preserve">Модель: покупка (1) / RaaS (0)</t>
  </si>
  <si>
    <t xml:space="preserve">ПРЕДПОСЧИТАН — шаг 3</t>
  </si>
  <si>
    <t xml:space="preserve">3_Решение_фильтры: is_purchase</t>
  </si>
  <si>
    <t xml:space="preserve">Подготовка объекта, % / интеграция, руб.</t>
  </si>
  <si>
    <t xml:space="preserve">2_Процесс: site_pct, integration</t>
  </si>
  <si>
    <t xml:space="preserve">Нормативы: станция, ПО 10%, доставка 2%, ПНР 5%, обучение, резерв 10%, установочный платёж RaaS 5%</t>
  </si>
  <si>
    <t xml:space="preserve">Бюджет объекта</t>
  </si>
  <si>
    <t xml:space="preserve">2_Процесс: budget</t>
  </si>
  <si>
    <t xml:space="preserve">capex_equip</t>
  </si>
  <si>
    <t xml:space="preserve">Оборудование = роботов × цена (покупка)</t>
  </si>
  <si>
    <t xml:space="preserve">[шаг 5: n_robots]*[шаг 3: price]*[шаг 3: is_purchase]</t>
  </si>
  <si>
    <t xml:space="preserve">capex_chargers</t>
  </si>
  <si>
    <t xml:space="preserve">Зарядные станции (покупка)</t>
  </si>
  <si>
    <t xml:space="preserve">[шаг 5: n_chargers]*N_charger_price*[шаг 3: is_purchase]</t>
  </si>
  <si>
    <t xml:space="preserve">capex_site</t>
  </si>
  <si>
    <t xml:space="preserve">Подготовка объекта = парк × цена × %</t>
  </si>
  <si>
    <t xml:space="preserve">[шаг 5: n_robots]*[шаг 3: price]*P_site_pct</t>
  </si>
  <si>
    <t xml:space="preserve">capex_sw</t>
  </si>
  <si>
    <t xml:space="preserve">ПО управления флотом</t>
  </si>
  <si>
    <t xml:space="preserve">[capex_equip]*N_sw_pct</t>
  </si>
  <si>
    <t xml:space="preserve">capex_integ</t>
  </si>
  <si>
    <t xml:space="preserve">Интеграция с ИТ-системами</t>
  </si>
  <si>
    <t xml:space="preserve">P_integration*IF([шаг 5: n_robots]&gt;0,1,0)</t>
  </si>
  <si>
    <t xml:space="preserve">capex_delivery</t>
  </si>
  <si>
    <t xml:space="preserve">Доставка</t>
  </si>
  <si>
    <t xml:space="preserve">[capex_equip]*N_delivery_pct</t>
  </si>
  <si>
    <t xml:space="preserve">capex_pnr</t>
  </si>
  <si>
    <t xml:space="preserve">ПНР / установочный платёж RaaS</t>
  </si>
  <si>
    <t xml:space="preserve">[capex_equip]*N_pnr_pct+(1-[шаг 3: is_purchase])*[шаг 5: n_robots]*[шаг 3: price]*N_raas_setup</t>
  </si>
  <si>
    <t xml:space="preserve">capex_training</t>
  </si>
  <si>
    <t xml:space="preserve">Обучение</t>
  </si>
  <si>
    <t xml:space="preserve">N_training*IF([шаг 5: n_robots]&gt;0,1,0)</t>
  </si>
  <si>
    <t xml:space="preserve">capex_sub</t>
  </si>
  <si>
    <t xml:space="preserve">Итого до резерва</t>
  </si>
  <si>
    <t xml:space="preserve">[capex_equip]+[capex_chargers]+[capex_site]+[capex_sw]+[capex_integ]+[capex_delivery]+[capex_pnr]+[capex_training]</t>
  </si>
  <si>
    <t xml:space="preserve">capex_reserve</t>
  </si>
  <si>
    <t xml:space="preserve">Резерв</t>
  </si>
  <si>
    <t xml:space="preserve">[capex_sub]*N_capex_reserve</t>
  </si>
  <si>
    <t xml:space="preserve">capex_total</t>
  </si>
  <si>
    <t xml:space="preserve">CAPEX ИТОГО</t>
  </si>
  <si>
    <t xml:space="preserve">[capex_sub]+[capex_reserve]</t>
  </si>
  <si>
    <t xml:space="preserve">chk_budget</t>
  </si>
  <si>
    <t xml:space="preserve">Проверка бюджета</t>
  </si>
  <si>
    <t xml:space="preserve">IF([capex_total]&lt;=P_budget*1000000,"В бюджете","Превышает бюджет")</t>
  </si>
  <si>
    <t xml:space="preserve">capex_total, capex_equip → шаги 8 (проценты), 9, 10, 11.</t>
  </si>
  <si>
    <t xml:space="preserve">ШАГ 8. OPEX РОБОТИЗИРОВАННОГО СЦЕНАРИЯ (ТЗ 3.5.2)</t>
  </si>
  <si>
    <t xml:space="preserve">Сервис + лицензии + энергия + связь + расходники + ремонт + персонал эксплуатации (+ аренда при RaaS, + проценты при кредите).</t>
  </si>
  <si>
    <t xml:space="preserve">Количество роботов</t>
  </si>
  <si>
    <t xml:space="preserve">5_Парк: n_robots</t>
  </si>
  <si>
    <t xml:space="preserve">Цена изделия / оборудование CAPEX</t>
  </si>
  <si>
    <t xml:space="preserve">ПРЕДПОСЧИТАН — шаг 7</t>
  </si>
  <si>
    <t xml:space="preserve">3: price; 7: capex_equip, capex_total</t>
  </si>
  <si>
    <t xml:space="preserve">Мощность робота</t>
  </si>
  <si>
    <t xml:space="preserve">3_Решение_фильтры: power</t>
  </si>
  <si>
    <t xml:space="preserve">Часов работы в сутки, смен, потери, оклад оператора флота</t>
  </si>
  <si>
    <t xml:space="preserve">2_Процесс: hours_day, shifts, loss_k, fleet_per_shift, fleet_sal</t>
  </si>
  <si>
    <t xml:space="preserve">Нормативы: RaaS 3%/мес, сервис 8%, лицензии 3%, ремонт 2%, тариф 7.5, связь, кредит</t>
  </si>
  <si>
    <t xml:space="preserve">Расходники на робота</t>
  </si>
  <si>
    <t xml:space="preserve">2_Процесс: consum_per_robot</t>
  </si>
  <si>
    <t xml:space="preserve">opex_rent</t>
  </si>
  <si>
    <t xml:space="preserve">Платёж RaaS = роботов × цена × ставка × 12</t>
  </si>
  <si>
    <t xml:space="preserve">(1-[шаг 3: is_purchase])*[шаг 5: n_robots]*[шаг 3: price]*N_raas_pct*12</t>
  </si>
  <si>
    <t xml:space="preserve">opex_service</t>
  </si>
  <si>
    <t xml:space="preserve">Сервисный контракт (покупка)</t>
  </si>
  <si>
    <t xml:space="preserve">[шаг 3: is_purchase]*[шаг 7: capex_equip]*N_service_pct</t>
  </si>
  <si>
    <t xml:space="preserve">opex_license</t>
  </si>
  <si>
    <t xml:space="preserve">Лицензии ПО (покупка)</t>
  </si>
  <si>
    <t xml:space="preserve">[шаг 3: is_purchase]*[шаг 7: capex_equip]*N_license_pct</t>
  </si>
  <si>
    <t xml:space="preserve">opex_repair</t>
  </si>
  <si>
    <t xml:space="preserve">Ремонт вне контракта (покупка)</t>
  </si>
  <si>
    <t xml:space="preserve">[шаг 3: is_purchase]*[шаг 7: capex_equip]*N_repair_pct</t>
  </si>
  <si>
    <t xml:space="preserve">opex_energy</t>
  </si>
  <si>
    <t xml:space="preserve">Электроэнергия = роботов × кВт × ч/сут × 365 × тариф</t>
  </si>
  <si>
    <t xml:space="preserve">[шаг 5: n_robots]*[шаг 3: power]*P_hours_day*365*N_energy_price</t>
  </si>
  <si>
    <t xml:space="preserve">opex_connect</t>
  </si>
  <si>
    <t xml:space="preserve">Связь</t>
  </si>
  <si>
    <t xml:space="preserve">N_connect*IF([шаг 5: n_robots]&gt;0,1,0)</t>
  </si>
  <si>
    <t xml:space="preserve">opex_consum</t>
  </si>
  <si>
    <t xml:space="preserve">Расходники</t>
  </si>
  <si>
    <t xml:space="preserve">P_consum_per_robot*[шаг 5: n_robots]</t>
  </si>
  <si>
    <t xml:space="preserve">opex_fleet</t>
  </si>
  <si>
    <t xml:space="preserve">Персонал эксплуатации = чел./смену × смен × (1+потери) × оклад × 12 × N_fot</t>
  </si>
  <si>
    <t xml:space="preserve">P_fleet_per_shift*P_shifts*(1+P_loss_k)*P_fleet_sal*12*N_fot*IF([шаг 5: n_robots]&gt;0,1,0)</t>
  </si>
  <si>
    <t xml:space="preserve">opex_loan</t>
  </si>
  <si>
    <t xml:space="preserve">Обслуживание долга (если доля кредита &gt; 0)</t>
  </si>
  <si>
    <t xml:space="preserve">[шаг 3: is_purchase]*[шаг 7: capex_total]*N_loan_share*N_loan_rate*(N_loan_years+1)/(2*N_loan_years)</t>
  </si>
  <si>
    <t xml:space="preserve">opex_robot</t>
  </si>
  <si>
    <t xml:space="preserve">OPEX РЕШЕНИЯ ИТОГО (дополнительный OPEX)</t>
  </si>
  <si>
    <t xml:space="preserve">[opex_rent]+[opex_service]+[opex_license]+[opex_repair]+[opex_energy]+[opex_connect]+[opex_consum]+[opex_fleet]+[opex_loan]</t>
  </si>
  <si>
    <t xml:space="preserve">opex_robot → шаги 9, 10, 11.</t>
  </si>
  <si>
    <t xml:space="preserve">ШАГ 9. ЭФФЕКТ, ОКУПАЕМОСТЬ, ROI, TCO, ИНТЕРПРЕТАЦИЯ</t>
  </si>
  <si>
    <t xml:space="preserve">Все входы — предпосчитанные на шагах 2, 3, 6, 7, 8 плюс нормативы.</t>
  </si>
  <si>
    <t xml:space="preserve">OPEX базы / совокупные затраты базы</t>
  </si>
  <si>
    <t xml:space="preserve">ПРЕДПОСЧИТАН — шаг 6</t>
  </si>
  <si>
    <t xml:space="preserve">6_База: base_opex, base_tco</t>
  </si>
  <si>
    <t xml:space="preserve">Целевые FTE и их ФОТ; средний оклад; текучесть</t>
  </si>
  <si>
    <t xml:space="preserve">2_Процесс: fte_target, labor_target, sal_target, turnover</t>
  </si>
  <si>
    <t xml:space="preserve">Коэффициент замещения; применимость</t>
  </si>
  <si>
    <t xml:space="preserve">3_Решение_фильтры: repl, feasible, status, conf</t>
  </si>
  <si>
    <t xml:space="preserve">CAPEX итого / оборудование</t>
  </si>
  <si>
    <t xml:space="preserve">OPEX решения</t>
  </si>
  <si>
    <t xml:space="preserve">ПРЕДПОСЧИТАН — шаг 8</t>
  </si>
  <si>
    <t xml:space="preserve">8_OPEX: opex_robot</t>
  </si>
  <si>
    <t xml:space="preserve">Горизонт, срок АКБ, доля замены АКБ, срок службы, пороги интерпретации</t>
  </si>
  <si>
    <t xml:space="preserve">2_Процесс: horizon; 1b_Нормативы</t>
  </si>
  <si>
    <t xml:space="preserve">Иные эффекты (ввод)</t>
  </si>
  <si>
    <t xml:space="preserve">2_Процесс: other_effects</t>
  </si>
  <si>
    <t xml:space="preserve">fte_freed</t>
  </si>
  <si>
    <t xml:space="preserve">Высвобождаемый персонал = целевые FTE × замещение</t>
  </si>
  <si>
    <t xml:space="preserve">P_fte_target*[шаг 3: repl]*[шаг 3: feasible]</t>
  </si>
  <si>
    <t xml:space="preserve">labor_saving</t>
  </si>
  <si>
    <t xml:space="preserve">Экономия ФОТ</t>
  </si>
  <si>
    <t xml:space="preserve">P_labor_target*[шаг 3: repl]*[шаг 3: feasible]</t>
  </si>
  <si>
    <t xml:space="preserve">labor_remaining</t>
  </si>
  <si>
    <t xml:space="preserve">Остаточный ФОТ</t>
  </si>
  <si>
    <t xml:space="preserve">[шаг 6: base_opex]-[labor_saving]</t>
  </si>
  <si>
    <t xml:space="preserve">opex_new_total</t>
  </si>
  <si>
    <t xml:space="preserve">OPEX сценария итого = остаточный ФОТ + OPEX решения</t>
  </si>
  <si>
    <t xml:space="preserve">[labor_remaining]+[шаг 8: opex_robot]</t>
  </si>
  <si>
    <t xml:space="preserve">delta_opex</t>
  </si>
  <si>
    <t xml:space="preserve">ΔOPEX к базе (минус = экономия)</t>
  </si>
  <si>
    <t xml:space="preserve">[opex_new_total]-[шаг 6: base_opex]</t>
  </si>
  <si>
    <t xml:space="preserve">hire_saving</t>
  </si>
  <si>
    <t xml:space="preserve">Экономия на подборе = FTE × текучесть × стоимость замены × оклад</t>
  </si>
  <si>
    <t xml:space="preserve">[fte_freed]*P_turnover*N_hire_cost*P_sal_target</t>
  </si>
  <si>
    <t xml:space="preserve">other_eff</t>
  </si>
  <si>
    <t xml:space="preserve">Иные эффекты</t>
  </si>
  <si>
    <t xml:space="preserve">P_other_effects*[шаг 3: feasible]</t>
  </si>
  <si>
    <t xml:space="preserve">effect_net</t>
  </si>
  <si>
    <t xml:space="preserve">ЧИСТЫЙ ГОДОВОЙ ЭФФЕКТ = (OPEX база − OPEX сцен.) + подбор + иные</t>
  </si>
  <si>
    <t xml:space="preserve">[шаг 6: base_opex]-[opex_new_total]+[hire_saving]+[other_eff]</t>
  </si>
  <si>
    <t xml:space="preserve">amort</t>
  </si>
  <si>
    <t xml:space="preserve">Амортизация (линейно, N_life; RaaS = 0)</t>
  </si>
  <si>
    <t xml:space="preserve">[шаг 7: capex_total]/N_life*[шаг 3: is_purchase]</t>
  </si>
  <si>
    <t xml:space="preserve">effect_amort</t>
  </si>
  <si>
    <t xml:space="preserve">Эффект с учётом амортизации (учётный)</t>
  </si>
  <si>
    <t xml:space="preserve">[effect_net]-[amort]</t>
  </si>
  <si>
    <t xml:space="preserve">payback</t>
  </si>
  <si>
    <t xml:space="preserve">ПРОСТОЙ СРОК ОКУПАЕМОСТИ = CAPEX / эффект</t>
  </si>
  <si>
    <t xml:space="preserve">IF(AND([шаг 3: feasible]=1,[effect_net]&gt;0),[шаг 7: capex_total]/[effect_net],"не окупается")</t>
  </si>
  <si>
    <t xml:space="preserve">batt_events</t>
  </si>
  <si>
    <t xml:space="preserve">Замен АКБ = INT((горизонт−1)/срок АКБ) (покупка)</t>
  </si>
  <si>
    <t xml:space="preserve">[шаг 3: is_purchase]*INT((P_horizon-1)/N_battery_life)</t>
  </si>
  <si>
    <t xml:space="preserve">batt_cost</t>
  </si>
  <si>
    <t xml:space="preserve">Стоимость замены АКБ на парк</t>
  </si>
  <si>
    <t xml:space="preserve">[шаг 7: capex_equip]*N_battery_share</t>
  </si>
  <si>
    <t xml:space="preserve">cum_effect</t>
  </si>
  <si>
    <t xml:space="preserve">Накопленный эффект за горизонт</t>
  </si>
  <si>
    <t xml:space="preserve">[effect_net]*P_horizon-[batt_events]*[batt_cost]</t>
  </si>
  <si>
    <t xml:space="preserve">roi</t>
  </si>
  <si>
    <t xml:space="preserve">ROI (ТЗ) = накопленный эффект / CAPEX</t>
  </si>
  <si>
    <t xml:space="preserve">IF([шаг 7: capex_total]&gt;0,[cum_effect]/[шаг 7: capex_total],"—")</t>
  </si>
  <si>
    <t xml:space="preserve">roi_simple</t>
  </si>
  <si>
    <t xml:space="preserve">Cumulative simple ROI = (накопл. эффект − CAPEX) / CAPEX</t>
  </si>
  <si>
    <t xml:space="preserve">IF([шаг 7: capex_total]&gt;0,([cum_effect]-[шаг 7: capex_total])/[шаг 7: capex_total],"—")</t>
  </si>
  <si>
    <t xml:space="preserve">tco_solution</t>
  </si>
  <si>
    <t xml:space="preserve">TCO РЕШЕНИЯ = CAPEX + OPEX решения × горизонт + замены АКБ</t>
  </si>
  <si>
    <t xml:space="preserve">[шаг 7: capex_total]+[шаг 8: opex_robot]*P_horizon+[batt_events]*[batt_cost]</t>
  </si>
  <si>
    <t xml:space="preserve">tco_new</t>
  </si>
  <si>
    <t xml:space="preserve">Совокупные затраты процесса за горизонт (сценарий)</t>
  </si>
  <si>
    <t xml:space="preserve">[шаг 7: capex_total]+[opex_new_total]*P_horizon+[batt_events]*[batt_cost]</t>
  </si>
  <si>
    <t xml:space="preserve">tco_delta</t>
  </si>
  <si>
    <t xml:space="preserve">Разница к базе (минус = выгода)</t>
  </si>
  <si>
    <t xml:space="preserve">[tco_new]-[шаг 6: base_tco]</t>
  </si>
  <si>
    <t xml:space="preserve">verdict</t>
  </si>
  <si>
    <t xml:space="preserve">ИНТЕРПРЕТАЦИЯ (ТЗ 3.5.7)</t>
  </si>
  <si>
    <t xml:space="preserve">IF([шаг 3: feasible]=0,"Не применимо",IF([effect_net]&lt;=0,"Не окупается",IF([payback]&lt;=N_pb_good,"Высокая целесообразность",IF([payback]&lt;=N_pb_mid,"Средняя — рекомендован пилот","Низкая — требует уточнения данных"))))</t>
  </si>
  <si>
    <t xml:space="preserve">risks</t>
  </si>
  <si>
    <t xml:space="preserve">Риски</t>
  </si>
  <si>
    <t xml:space="preserve">IF([шаг 3: sol_status]&lt;&gt;"operation","Зрелость: "&amp;[шаг 3: sol_status]&amp;"; ","")&amp;IF([шаг 3: sol_conf]&lt;&gt;"Да","ТТХ требуют подтверждения; ","")&amp;IF([шаг 7: chk_budget]="Превышает бюджет","CAPEX выше бюджета; ","")&amp;IF([шаг 5: chk_power]&lt;&gt;"ОК","мощность сети; ","")&amp;IF([шаг 5: util_avg]&lt;0.3,"парк рассчитан на пик (низкая средняя загрузка); ","")</t>
  </si>
  <si>
    <t xml:space="preserve">effect_net, payback, roi, tco → шаги 10, 13; verdict, risks → отчёт; effect_net, batt_cost → шаг 10.</t>
  </si>
  <si>
    <t xml:space="preserve">ШАГ 10. ДЕНЕЖНЫЙ ПОТОК ПО ГОДАМ, NPV, IRR, ДИСКОНТИРОВАННАЯ ОКУПАЕМОСТЬ</t>
  </si>
  <si>
    <t xml:space="preserve">Входы: CAPEX (шаг 7), чистый эффект и замена АКБ (шаг 9), горизонт (шаг 2), N_discount, N_residual_pct (1b). Год 0 = −CAPEX; последний год горизонта + остаточная стоимость.</t>
  </si>
  <si>
    <t xml:space="preserve">Год</t>
  </si>
  <si>
    <t xml:space="preserve">Покупка A: поток</t>
  </si>
  <si>
    <t xml:space="preserve">Покупка A: накопл.</t>
  </si>
  <si>
    <t xml:space="preserve">Покупка A: дисконт. накопл.</t>
  </si>
  <si>
    <t xml:space="preserve">RaaS A: поток</t>
  </si>
  <si>
    <t xml:space="preserve">RaaS A: накопл.</t>
  </si>
  <si>
    <t xml:space="preserve">RaaS A: дисконт. накопл.</t>
  </si>
  <si>
    <t xml:space="preserve">Покупка B: поток</t>
  </si>
  <si>
    <t xml:space="preserve">Покупка B: накопл.</t>
  </si>
  <si>
    <t xml:space="preserve">Покупка B: дисконт. накопл.</t>
  </si>
  <si>
    <t xml:space="preserve">NPV за горизонт</t>
  </si>
  <si>
    <t xml:space="preserve">IRR</t>
  </si>
  <si>
    <t xml:space="preserve">Дисконтированный срок окупаемости, лет (целых)</t>
  </si>
  <si>
    <t xml:space="preserve">Выходы: NPV, IRR, дисконтированный срок → шаг 13 (сводка). Для RaaS IRR не определён при CAPEX ≈ 0 — выводится «—».</t>
  </si>
  <si>
    <t xml:space="preserve">ШАГ 11. ЧУВСТВИТЕЛЬНОСТЬ: пересчёт шагов 5, 7–9 при ±N_sens по цене оборудования, объёму операций и стоимости труда</t>
  </si>
  <si>
    <t xml:space="preserve">Каждая колонка — прогон сценария с множителями (формулы шагов 5, 7, 8, 9 повторены без изменений). Объём масштабирует парк и численность персонала.</t>
  </si>
  <si>
    <t xml:space="preserve">Вариант</t>
  </si>
  <si>
    <t xml:space="preserve">База</t>
  </si>
  <si>
    <t xml:space="preserve">Оборуд. −</t>
  </si>
  <si>
    <t xml:space="preserve">Оборуд. +</t>
  </si>
  <si>
    <t xml:space="preserve">Объём −</t>
  </si>
  <si>
    <t xml:space="preserve">Объём +</t>
  </si>
  <si>
    <t xml:space="preserve">Труд −</t>
  </si>
  <si>
    <t xml:space="preserve">Труд +</t>
  </si>
  <si>
    <t xml:space="preserve">k_цена</t>
  </si>
  <si>
    <t xml:space="preserve">k_объём</t>
  </si>
  <si>
    <t xml:space="preserve">k_труд</t>
  </si>
  <si>
    <t xml:space="preserve">Константы прогона (ссылки на шаги)</t>
  </si>
  <si>
    <t xml:space="preserve">feas</t>
  </si>
  <si>
    <t xml:space="preserve">Применимо (шаг 3)</t>
  </si>
  <si>
    <t xml:space="preserve">isp</t>
  </si>
  <si>
    <t xml:space="preserve">Покупка=1 (шаг 3)</t>
  </si>
  <si>
    <t xml:space="preserve">Цена (шаг 3)</t>
  </si>
  <si>
    <t xml:space="preserve">Мощность (шаг 3)</t>
  </si>
  <si>
    <t xml:space="preserve">Замещение (шаг 3)</t>
  </si>
  <si>
    <t xml:space="preserve">peak</t>
  </si>
  <si>
    <t xml:space="preserve">Пиковая потребность (шаг 4)</t>
  </si>
  <si>
    <t xml:space="preserve">eff</t>
  </si>
  <si>
    <t xml:space="preserve">Эфф. производительность (шаг 5)</t>
  </si>
  <si>
    <t xml:space="preserve">Пересчёт</t>
  </si>
  <si>
    <t xml:space="preserve">n</t>
  </si>
  <si>
    <t xml:space="preserve">Роботов = MAX(1, ROUNDUP(пик × k_объём / произв. × (1+резерв)))</t>
  </si>
  <si>
    <t xml:space="preserve">nch</t>
  </si>
  <si>
    <t xml:space="preserve">Зарядных станций</t>
  </si>
  <si>
    <t xml:space="preserve">capex</t>
  </si>
  <si>
    <t xml:space="preserve">CAPEX (формулы шага 7 с k_цена)</t>
  </si>
  <si>
    <t xml:space="preserve">opex_r</t>
  </si>
  <si>
    <t xml:space="preserve">OPEX решения (формулы шага 8 с k_цена, k_труд)</t>
  </si>
  <si>
    <t xml:space="preserve">saving</t>
  </si>
  <si>
    <t xml:space="preserve">Экономия ФОТ × k_труд × k_объём</t>
  </si>
  <si>
    <t xml:space="preserve">hire</t>
  </si>
  <si>
    <t xml:space="preserve">Экономия на подборе</t>
  </si>
  <si>
    <t xml:space="preserve">effect</t>
  </si>
  <si>
    <t xml:space="preserve">ЧИСТЫЙ ГОДОВОЙ ЭФФЕКТ</t>
  </si>
  <si>
    <t xml:space="preserve">СРОК ОКУПАЕМОСТИ, лет</t>
  </si>
  <si>
    <t xml:space="preserve">ROI за горизонт</t>
  </si>
  <si>
    <t xml:space="preserve">Контроль: колонка «База» каждого сценария должна совпадать с шагами 5, 7, 8, 9 (n, CAPEX, OPEX решения, эффект, окупаемость).</t>
  </si>
  <si>
    <t xml:space="preserve">ШАГ 12. ПЕРЕДАЧА В 2D-ИМИТАЦИЮ И ПРИЁМ РЕЗУЛЬТАТОВ (ТЗ 3.6.2: визуализация подтверждает расчёт)</t>
  </si>
  <si>
    <t xml:space="preserve">Блок А — что модель отдаёт симуляции (ссылки на шаги). Блок Б — что симуляция возвращает (синие ячейки заполняются по результатам прогона). Блок В — правила подтверждения и обратной связи в модель.</t>
  </si>
  <si>
    <t xml:space="preserve">А. ПАРАМЕТРЫ, ПЕРЕДАВАЕМЫЕ В СИМУЛЯЦИЮ (по выбранному сценарию)</t>
  </si>
  <si>
    <t xml:space="preserve">Шаг-источник</t>
  </si>
  <si>
    <t xml:space="preserve">Что задаёт в симуляции</t>
  </si>
  <si>
    <t xml:space="preserve">Количество агентов-роботов</t>
  </si>
  <si>
    <t xml:space="preserve">шаг 5: n_robots</t>
  </si>
  <si>
    <t xml:space="preserve">Число агентов на схеме</t>
  </si>
  <si>
    <t xml:space="preserve">Число зарядных станций</t>
  </si>
  <si>
    <t xml:space="preserve">шаг 5: n_chargers</t>
  </si>
  <si>
    <t xml:space="preserve">Узлы зарядки; размещение: у узла-источника, далее k-медианы по узлам спроса (см. методику)</t>
  </si>
  <si>
    <t xml:space="preserve">Эксплуатационная скорость агента</t>
  </si>
  <si>
    <t xml:space="preserve">шаг 5: v_eff</t>
  </si>
  <si>
    <t xml:space="preserve">Скорость движения по рёбрам графа (или vmax × N_kv с лимитом ребра)</t>
  </si>
  <si>
    <t xml:space="preserve">Время загрузки</t>
  </si>
  <si>
    <t xml:space="preserve">шаг 3: tload</t>
  </si>
  <si>
    <t xml:space="preserve">Задержка в узле-источнике</t>
  </si>
  <si>
    <t xml:space="preserve">Время разгрузки</t>
  </si>
  <si>
    <t xml:space="preserve">шаг 3: tunload</t>
  </si>
  <si>
    <t xml:space="preserve">Задержка в узле-приёмнике</t>
  </si>
  <si>
    <t xml:space="preserve">Автономность</t>
  </si>
  <si>
    <t xml:space="preserve">шаг 3: auton</t>
  </si>
  <si>
    <t xml:space="preserve">Ёмкость батареи агента (в часах хода)</t>
  </si>
  <si>
    <t xml:space="preserve">Время зарядки</t>
  </si>
  <si>
    <t xml:space="preserve">шаг 3: charge</t>
  </si>
  <si>
    <t xml:space="preserve">Длительность занятия станции</t>
  </si>
  <si>
    <t xml:space="preserve">Средняя длина маршрута</t>
  </si>
  <si>
    <t xml:space="preserve">шаг 2: L</t>
  </si>
  <si>
    <t xml:space="preserve">Калибровочная цель для генератора планировки: средний кратчайший путь по графу ≈ L</t>
  </si>
  <si>
    <t xml:space="preserve">Время лифта (один проход)</t>
  </si>
  <si>
    <t xml:space="preserve">шаг 2: lift_time</t>
  </si>
  <si>
    <t xml:space="preserve">Задержка в узле-лифте (очередь FIFO, ёмкость = число лифтов)</t>
  </si>
  <si>
    <t xml:space="preserve">Рейсов в сутки</t>
  </si>
  <si>
    <t xml:space="preserve">шаг 4: trips_day</t>
  </si>
  <si>
    <t xml:space="preserve">Суммарный объём заявок за сутки</t>
  </si>
  <si>
    <t xml:space="preserve">Средняя интенсивность</t>
  </si>
  <si>
    <t xml:space="preserve">шаг 4: avg_h</t>
  </si>
  <si>
    <t xml:space="preserve">Базовый темп генератора заявок</t>
  </si>
  <si>
    <t xml:space="preserve">шаг 4: peak_trips</t>
  </si>
  <si>
    <t xml:space="preserve">Темп генератора в пиковые окна (склад: × пиковый коэф.; аэропорт: по расписанию рейсов; мед: окна 07–10, 15–17)</t>
  </si>
  <si>
    <t xml:space="preserve">Часов работы</t>
  </si>
  <si>
    <t xml:space="preserve">шаг 2: hours_day</t>
  </si>
  <si>
    <t xml:space="preserve">Длина смоделированных суток</t>
  </si>
  <si>
    <t xml:space="preserve">Расчётный цикл рейса</t>
  </si>
  <si>
    <t xml:space="preserve">шаг 5: t_cycle</t>
  </si>
  <si>
    <t xml:space="preserve">Контрольное значение: средний цикл в симуляции</t>
  </si>
  <si>
    <t xml:space="preserve">Расчётная производительность робота</t>
  </si>
  <si>
    <t xml:space="preserve">шаг 5: eff_prod</t>
  </si>
  <si>
    <t xml:space="preserve">Контрольное значение</t>
  </si>
  <si>
    <t xml:space="preserve">Расчётная пропускная способность парка</t>
  </si>
  <si>
    <t xml:space="preserve">шаг 5: fleet_cap</t>
  </si>
  <si>
    <t xml:space="preserve">Контрольное значение: должна быть ≥ пиковой потребности</t>
  </si>
  <si>
    <t xml:space="preserve">Расчётная среднесуточная загрузка</t>
  </si>
  <si>
    <t xml:space="preserve">шаг 5: util_avg</t>
  </si>
  <si>
    <t xml:space="preserve">Б. РЕЗУЛЬТАТЫ СИМУЛЯЦИИ (ввод после прогона; синие ячейки) и В. ПРАВИЛА ПОДТВЕРЖДЕНИЯ</t>
  </si>
  <si>
    <t xml:space="preserve">Метрика симуляции</t>
  </si>
  <si>
    <t xml:space="preserve">Правило проверки</t>
  </si>
  <si>
    <t xml:space="preserve">Действие при нарушении (обратная связь в модель)</t>
  </si>
  <si>
    <t xml:space="preserve">sim_cap</t>
  </si>
  <si>
    <t xml:space="preserve">Фактическая пропускная способность парка в пике</t>
  </si>
  <si>
    <t xml:space="preserve">СИМУЛИРОВАН — шаг 12</t>
  </si>
  <si>
    <t xml:space="preserve">≥ peak_trips (шаг 4)</t>
  </si>
  <si>
    <t xml:space="preserve">Увеличить N_reserve или n_robots (шаг 5); проверить узкие места</t>
  </si>
  <si>
    <t xml:space="preserve">sim_cycle</t>
  </si>
  <si>
    <t xml:space="preserve">Фактический средний цикл рейса</t>
  </si>
  <si>
    <t xml:space="preserve">в пределах ±N_sim_tol от t_cycle</t>
  </si>
  <si>
    <t xml:space="preserve">Обновить N_kv, tload/tunload, lift_time (1b, 1c, 2) с фиксацией изменения (ТЗ 3.5.4)</t>
  </si>
  <si>
    <t xml:space="preserve">sim_util</t>
  </si>
  <si>
    <t xml:space="preserve">Фактическая средняя загрузка парка</t>
  </si>
  <si>
    <t xml:space="preserve">в пределах ±N_sim_tol от util_avg</t>
  </si>
  <si>
    <t xml:space="preserve">Если ниже — рассмотреть меньший парк / RaaS; если выше — риск нехватки резерва</t>
  </si>
  <si>
    <t xml:space="preserve">sim_queue</t>
  </si>
  <si>
    <t xml:space="preserve">Среднее ожидание в очередях (станции, лифты)</t>
  </si>
  <si>
    <t xml:space="preserve">информативно; &gt; 10% цикла → узкое место</t>
  </si>
  <si>
    <t xml:space="preserve">Добавить станцию/лифтовую интеграцию → capex_site (шаг 7)</t>
  </si>
  <si>
    <t xml:space="preserve">sim_charge_loss</t>
  </si>
  <si>
    <t xml:space="preserve">Доля времени на зарядке</t>
  </si>
  <si>
    <t xml:space="preserve">≤ 1 − N_util</t>
  </si>
  <si>
    <t xml:space="preserve">Если больше — уточнить N_util или добавить станции (шаг 5)</t>
  </si>
  <si>
    <t xml:space="preserve">sim_sla</t>
  </si>
  <si>
    <t xml:space="preserve">Доля заявок, выполненных в норматив</t>
  </si>
  <si>
    <t xml:space="preserve">≥ 95% (норматив доставки: мед 20 мин, аэропорт TAT)</t>
  </si>
  <si>
    <t xml:space="preserve">Пересмотреть маршруты/приоритеты; при невыполнении — увеличить парк</t>
  </si>
  <si>
    <t xml:space="preserve">Проверки (формулы; «нет данных», пока результаты симуляции не введены):</t>
  </si>
  <si>
    <t xml:space="preserve">Пропускная способность подтверждена</t>
  </si>
  <si>
    <t xml:space="preserve">Цикл рейса подтверждён (±допуск)</t>
  </si>
  <si>
    <t xml:space="preserve">Загрузка парка подтверждена (±допуск)</t>
  </si>
  <si>
    <t xml:space="preserve">ИТОГ: расчёт подтверждён симуляцией</t>
  </si>
  <si>
    <t xml:space="preserve">Порядок: расчёт (шаги 1–11) → генерация схемы из сырых данных (площади, проходы, этажи, лифты, точки) → симуляция с параметрами блока А → сравнение с контрольными значениями → при расхождении корректировка допущений (N_kv, времена операций, lift_time, L) и пересчёт шагов 5–11 → повторный прогон.</t>
  </si>
  <si>
    <t xml:space="preserve">Расчёт первичен, симуляция — верификатор: это соответствует ТЗ 3.6.2 («подтверждать расчётную производительность») и защищает демонстрацию от зависимости от готовности симулятора. Экономика никогда не берётся напрямую из симуляции; из неё берутся только уточнённые операционные допущения.</t>
  </si>
  <si>
    <t xml:space="preserve">Все изменённые по результатам симуляции параметры получают тип «СИМУЛИРОВАН — шаг 12» и фиксируются в журнале проекта с версией расчёта (ТЗ 3.1.5, 3.5.4).</t>
  </si>
  <si>
    <t xml:space="preserve">ШАГ 13. СВОДКА ПО ВЫБРАННОМУ ОБЪЕКТУ</t>
  </si>
  <si>
    <t xml:space="preserve">Объект и процесс — из 0_Легенда; все значения — ссылки на шаги.</t>
  </si>
  <si>
    <t xml:space="preserve">Объект:</t>
  </si>
  <si>
    <t xml:space="preserve">Шаг</t>
  </si>
  <si>
    <t xml:space="preserve">Решение</t>
  </si>
  <si>
    <t xml:space="preserve">—</t>
  </si>
  <si>
    <t xml:space="preserve">шаг 3</t>
  </si>
  <si>
    <t xml:space="preserve">Применимость</t>
  </si>
  <si>
    <t xml:space="preserve">Роботов / станций</t>
  </si>
  <si>
    <t xml:space="preserve">шаг 5</t>
  </si>
  <si>
    <t xml:space="preserve">CAPEX</t>
  </si>
  <si>
    <t xml:space="preserve">шаг 7</t>
  </si>
  <si>
    <t xml:space="preserve">OPEX процесса</t>
  </si>
  <si>
    <t xml:space="preserve">шаг 9</t>
  </si>
  <si>
    <t xml:space="preserve">в т.ч. OPEX решения</t>
  </si>
  <si>
    <t xml:space="preserve">шаг 8</t>
  </si>
  <si>
    <t xml:space="preserve">ΔOPEX к базе</t>
  </si>
  <si>
    <t xml:space="preserve">Высвобождаемый персонал</t>
  </si>
  <si>
    <t xml:space="preserve">Чистый годовой эффект</t>
  </si>
  <si>
    <t xml:space="preserve">Эффект с амортизацией</t>
  </si>
  <si>
    <t xml:space="preserve">Простой срок окупаемости</t>
  </si>
  <si>
    <t xml:space="preserve">ROI за горизонт (ТЗ)</t>
  </si>
  <si>
    <t xml:space="preserve">NPV</t>
  </si>
  <si>
    <t xml:space="preserve">шаг 10</t>
  </si>
  <si>
    <t xml:space="preserve">TCO решения</t>
  </si>
  <si>
    <t xml:space="preserve">Совокупные затраты процесса за горизонт</t>
  </si>
  <si>
    <t xml:space="preserve">Интерпретация</t>
  </si>
  <si>
    <t xml:space="preserve">Результат — предварительная оценка; требует верификации при обследовании объекта (ТЗ 3.7.5). Подтверждение расчёта симуляцией — лист 12_Симуляция.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</si>
</sst>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#,##0.00"/>
    <numFmt numFmtId="167" formatCode="0.0%"/>
    <numFmt numFmtId="168" formatCode="#,##0;\(#,##0\);\-"/>
    <numFmt numFmtId="169" formatCode="#,##0.0"/>
    <numFmt numFmtId="170" formatCode="@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4B1E6B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E7DDF0"/>
      </patternFill>
    </fill>
    <fill>
      <patternFill patternType="solid">
        <fgColor rgb="FFDDEBF7"/>
        <bgColor rgb="FFEDEDED"/>
      </patternFill>
    </fill>
    <fill>
      <patternFill patternType="solid">
        <fgColor rgb="FFEDEDED"/>
        <bgColor rgb="FFEAF3E2"/>
      </patternFill>
    </fill>
    <fill>
      <patternFill patternType="solid">
        <fgColor rgb="FFFCE4D6"/>
        <bgColor rgb="FFEDEDED"/>
      </patternFill>
    </fill>
    <fill>
      <patternFill patternType="solid">
        <fgColor rgb="FFEAF3E2"/>
        <bgColor rgb="FFEDEDED"/>
      </patternFill>
    </fill>
    <fill>
      <patternFill patternType="solid">
        <fgColor rgb="FF4B1E6B"/>
        <bgColor rgb="FF660066"/>
      </patternFill>
    </fill>
    <fill>
      <patternFill patternType="solid">
        <fgColor rgb="FFE7DDF0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6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6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6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8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6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6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8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70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6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8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8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EAF3E2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E7DDF0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4B1E6B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0"/>
    <col collapsed="false" customWidth="true" hidden="false" outlineLevel="0" max="3" min="3" style="0" width="18"/>
    <col collapsed="false" customWidth="true" hidden="false" outlineLevel="0" max="4" min="4" style="0" width="50"/>
    <col collapsed="false" customWidth="true" hidden="false" outlineLevel="0" max="5" min="5" style="0" width="30"/>
    <col collapsed="false" customWidth="true" hidden="false" outlineLevel="0" max="10" min="6" style="0" width="19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</row>
    <row r="6" customFormat="false" ht="15" hidden="false" customHeight="false" outlineLevel="0" collapsed="false">
      <c r="A6" s="3" t="s">
        <v>4</v>
      </c>
    </row>
    <row r="7" customFormat="false" ht="31.5" hidden="false" customHeight="true" outlineLevel="0" collapsed="false">
      <c r="A7" s="5" t="s">
        <v>5</v>
      </c>
      <c r="B7" s="5" t="s">
        <v>6</v>
      </c>
      <c r="C7" s="5" t="s">
        <v>7</v>
      </c>
      <c r="D7" s="5" t="s">
        <v>8</v>
      </c>
    </row>
    <row r="8" customFormat="false" ht="15" hidden="false" customHeight="false" outlineLevel="0" collapsed="false">
      <c r="A8" s="6" t="s">
        <v>3</v>
      </c>
      <c r="B8" s="7" t="s">
        <v>9</v>
      </c>
      <c r="C8" s="7" t="s">
        <v>10</v>
      </c>
      <c r="D8" s="6" t="s">
        <v>11</v>
      </c>
    </row>
    <row r="9" customFormat="false" ht="15" hidden="false" customHeight="false" outlineLevel="0" collapsed="false">
      <c r="A9" s="6" t="s">
        <v>12</v>
      </c>
      <c r="B9" s="7" t="s">
        <v>13</v>
      </c>
      <c r="C9" s="7" t="s">
        <v>14</v>
      </c>
      <c r="D9" s="6" t="s">
        <v>15</v>
      </c>
    </row>
    <row r="10" customFormat="false" ht="15" hidden="false" customHeight="false" outlineLevel="0" collapsed="false">
      <c r="A10" s="6" t="s">
        <v>16</v>
      </c>
      <c r="B10" s="7" t="s">
        <v>17</v>
      </c>
      <c r="C10" s="7" t="s">
        <v>18</v>
      </c>
      <c r="D10" s="6" t="s">
        <v>19</v>
      </c>
    </row>
    <row r="12" customFormat="false" ht="15" hidden="false" customHeight="false" outlineLevel="0" collapsed="false">
      <c r="A12" s="3" t="s">
        <v>20</v>
      </c>
      <c r="B12" s="8" t="str">
        <f aca="false">INDEX(B8:B10,MATCH(SEL_OBJ,A8:A10,0))</f>
        <v>DMR-CARRIER-P</v>
      </c>
    </row>
    <row r="13" customFormat="false" ht="15" hidden="false" customHeight="false" outlineLevel="0" collapsed="false">
      <c r="A13" s="3" t="s">
        <v>21</v>
      </c>
      <c r="B13" s="8" t="str">
        <f aca="false">INDEX(C8:C10,MATCH(SEL_OBJ,A8:A10,0))</f>
        <v>RONAVI-H1500</v>
      </c>
    </row>
    <row r="14" customFormat="false" ht="15" hidden="false" customHeight="false" outlineLevel="0" collapsed="false">
      <c r="A14" s="3" t="s">
        <v>22</v>
      </c>
      <c r="B14" s="8" t="str">
        <f aca="false">INDEX(D8:D10,MATCH(SEL_OBJ,A8:A10,0))</f>
        <v>перемещение паллет док ↔ хранение</v>
      </c>
    </row>
    <row r="16" customFormat="false" ht="15" hidden="false" customHeight="false" outlineLevel="0" collapsed="false">
      <c r="A16" s="3" t="s">
        <v>23</v>
      </c>
    </row>
    <row r="17" customFormat="false" ht="15" hidden="false" customHeight="false" outlineLevel="0" collapsed="false">
      <c r="A17" s="9" t="s">
        <v>24</v>
      </c>
      <c r="B17" s="10" t="s">
        <v>25</v>
      </c>
    </row>
    <row r="18" customFormat="false" ht="15" hidden="false" customHeight="false" outlineLevel="0" collapsed="false">
      <c r="A18" s="9" t="s">
        <v>26</v>
      </c>
      <c r="B18" s="10" t="s">
        <v>27</v>
      </c>
    </row>
    <row r="19" customFormat="false" ht="23.85" hidden="false" customHeight="false" outlineLevel="0" collapsed="false">
      <c r="A19" s="9" t="s">
        <v>28</v>
      </c>
      <c r="B19" s="10" t="s">
        <v>29</v>
      </c>
    </row>
    <row r="20" customFormat="false" ht="23.85" hidden="false" customHeight="false" outlineLevel="0" collapsed="false">
      <c r="A20" s="11" t="s">
        <v>30</v>
      </c>
      <c r="B20" s="10" t="s">
        <v>31</v>
      </c>
    </row>
    <row r="21" customFormat="false" ht="15" hidden="false" customHeight="false" outlineLevel="0" collapsed="false">
      <c r="A21" s="12" t="s">
        <v>32</v>
      </c>
      <c r="B21" s="10" t="s">
        <v>33</v>
      </c>
    </row>
    <row r="22" customFormat="false" ht="15" hidden="false" customHeight="false" outlineLevel="0" collapsed="false">
      <c r="A22" s="13" t="s">
        <v>34</v>
      </c>
      <c r="B22" s="10" t="s">
        <v>35</v>
      </c>
    </row>
    <row r="24" customFormat="false" ht="15" hidden="false" customHeight="false" outlineLevel="0" collapsed="false">
      <c r="A24" s="3" t="s">
        <v>36</v>
      </c>
    </row>
    <row r="25" customFormat="false" ht="15" hidden="false" customHeight="false" outlineLevel="0" collapsed="false">
      <c r="A25" s="3" t="s">
        <v>37</v>
      </c>
      <c r="B25" s="14" t="s">
        <v>38</v>
      </c>
    </row>
    <row r="26" customFormat="false" ht="15" hidden="false" customHeight="false" outlineLevel="0" collapsed="false">
      <c r="A26" s="3" t="s">
        <v>39</v>
      </c>
      <c r="B26" s="14" t="s">
        <v>40</v>
      </c>
    </row>
    <row r="27" customFormat="false" ht="15" hidden="false" customHeight="false" outlineLevel="0" collapsed="false">
      <c r="A27" s="3" t="s">
        <v>41</v>
      </c>
      <c r="B27" s="14" t="s">
        <v>42</v>
      </c>
    </row>
    <row r="28" customFormat="false" ht="15" hidden="false" customHeight="false" outlineLevel="0" collapsed="false">
      <c r="A28" s="3" t="s">
        <v>43</v>
      </c>
      <c r="B28" s="14" t="s">
        <v>44</v>
      </c>
    </row>
    <row r="29" customFormat="false" ht="15" hidden="false" customHeight="false" outlineLevel="0" collapsed="false">
      <c r="A29" s="3" t="s">
        <v>45</v>
      </c>
      <c r="B29" s="14" t="s">
        <v>46</v>
      </c>
    </row>
    <row r="30" customFormat="false" ht="15" hidden="false" customHeight="false" outlineLevel="0" collapsed="false">
      <c r="A30" s="3" t="s">
        <v>47</v>
      </c>
      <c r="B30" s="14" t="s">
        <v>48</v>
      </c>
    </row>
    <row r="31" customFormat="false" ht="15" hidden="false" customHeight="false" outlineLevel="0" collapsed="false">
      <c r="A31" s="3" t="s">
        <v>49</v>
      </c>
      <c r="B31" s="14" t="s">
        <v>50</v>
      </c>
    </row>
    <row r="32" customFormat="false" ht="15" hidden="false" customHeight="false" outlineLevel="0" collapsed="false">
      <c r="A32" s="3" t="s">
        <v>51</v>
      </c>
      <c r="B32" s="14" t="s">
        <v>52</v>
      </c>
    </row>
    <row r="33" customFormat="false" ht="15" hidden="false" customHeight="false" outlineLevel="0" collapsed="false">
      <c r="A33" s="3" t="s">
        <v>53</v>
      </c>
      <c r="B33" s="14" t="s">
        <v>54</v>
      </c>
    </row>
    <row r="34" customFormat="false" ht="15" hidden="false" customHeight="false" outlineLevel="0" collapsed="false">
      <c r="A34" s="3" t="s">
        <v>55</v>
      </c>
      <c r="B34" s="14" t="s">
        <v>56</v>
      </c>
    </row>
    <row r="35" customFormat="false" ht="15" hidden="false" customHeight="false" outlineLevel="0" collapsed="false">
      <c r="A35" s="3" t="s">
        <v>57</v>
      </c>
      <c r="B35" s="14" t="s">
        <v>58</v>
      </c>
    </row>
    <row r="36" customFormat="false" ht="15" hidden="false" customHeight="false" outlineLevel="0" collapsed="false">
      <c r="A36" s="3" t="s">
        <v>59</v>
      </c>
      <c r="B36" s="14" t="s">
        <v>60</v>
      </c>
    </row>
    <row r="37" customFormat="false" ht="15" hidden="false" customHeight="false" outlineLevel="0" collapsed="false">
      <c r="A37" s="3" t="s">
        <v>61</v>
      </c>
      <c r="B37" s="14" t="s">
        <v>62</v>
      </c>
    </row>
    <row r="38" customFormat="false" ht="15" hidden="false" customHeight="false" outlineLevel="0" collapsed="false">
      <c r="A38" s="3" t="s">
        <v>63</v>
      </c>
      <c r="B38" s="14" t="s">
        <v>64</v>
      </c>
    </row>
    <row r="39" customFormat="false" ht="15" hidden="false" customHeight="false" outlineLevel="0" collapsed="false">
      <c r="A39" s="3" t="s">
        <v>65</v>
      </c>
      <c r="B39" s="14" t="s">
        <v>66</v>
      </c>
    </row>
  </sheetData>
  <dataValidations count="1">
    <dataValidation allowBlank="false" errorStyle="stop" operator="between" showDropDown="false" showErrorMessage="false" showInputMessage="false" sqref="B4" type="list">
      <formula1>"Склад,Аэропорт,Медучреждение"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58"/>
    <col collapsed="false" customWidth="true" hidden="false" outlineLevel="0" max="3" min="3" style="0" width="11"/>
    <col collapsed="false" customWidth="true" hidden="false" outlineLevel="0" max="4" min="4" style="0" width="24"/>
    <col collapsed="false" customWidth="true" hidden="false" outlineLevel="0" max="5" min="5" style="0" width="30"/>
    <col collapsed="false" customWidth="true" hidden="false" outlineLevel="0" max="8" min="6" style="0" width="19"/>
    <col collapsed="false" customWidth="true" hidden="false" outlineLevel="0" max="9" min="9" style="0" width="60"/>
    <col collapsed="false" customWidth="true" hidden="false" outlineLevel="0" max="10" min="10" style="0" width="19"/>
  </cols>
  <sheetData>
    <row r="1" customFormat="false" ht="17.35" hidden="false" customHeight="false" outlineLevel="0" collapsed="false">
      <c r="A1" s="1" t="s">
        <v>67</v>
      </c>
    </row>
    <row r="2" customFormat="false" ht="15" hidden="false" customHeight="false" outlineLevel="0" collapsed="false">
      <c r="A2" s="2" t="s">
        <v>68</v>
      </c>
    </row>
    <row r="4" customFormat="false" ht="31.5" hidden="false" customHeight="true" outlineLevel="0" collapsed="false">
      <c r="A4" s="5" t="s">
        <v>69</v>
      </c>
      <c r="B4" s="5" t="s">
        <v>70</v>
      </c>
      <c r="C4" s="5" t="s">
        <v>71</v>
      </c>
      <c r="D4" s="5" t="s">
        <v>3</v>
      </c>
      <c r="E4" s="5" t="s">
        <v>12</v>
      </c>
      <c r="F4" s="5" t="s">
        <v>16</v>
      </c>
      <c r="G4" s="5" t="s">
        <v>72</v>
      </c>
      <c r="H4" s="5" t="s">
        <v>73</v>
      </c>
      <c r="I4" s="5" t="s">
        <v>74</v>
      </c>
    </row>
    <row r="5" customFormat="false" ht="22.35" hidden="false" customHeight="false" outlineLevel="0" collapsed="false">
      <c r="A5" s="15" t="s">
        <v>75</v>
      </c>
      <c r="B5" s="15" t="s">
        <v>76</v>
      </c>
      <c r="C5" s="15" t="s">
        <v>77</v>
      </c>
      <c r="D5" s="16" t="n">
        <v>20000</v>
      </c>
      <c r="E5" s="16" t="n">
        <v>85000</v>
      </c>
      <c r="F5" s="16" t="n">
        <v>45000</v>
      </c>
      <c r="G5" s="17" t="n">
        <f aca="false">INDEX(D5:F5,MATCH(SEL_OBJ,$D$4:$F$4,0))</f>
        <v>20000</v>
      </c>
      <c r="H5" s="9" t="s">
        <v>24</v>
      </c>
      <c r="I5" s="18" t="s">
        <v>78</v>
      </c>
    </row>
    <row r="6" customFormat="false" ht="15" hidden="false" customHeight="false" outlineLevel="0" collapsed="false">
      <c r="A6" s="15" t="s">
        <v>79</v>
      </c>
      <c r="B6" s="15" t="s">
        <v>80</v>
      </c>
      <c r="C6" s="15" t="s">
        <v>77</v>
      </c>
      <c r="D6" s="16" t="n">
        <v>10000</v>
      </c>
      <c r="E6" s="16" t="n">
        <v>100000</v>
      </c>
      <c r="F6" s="16"/>
      <c r="G6" s="17" t="n">
        <f aca="false">INDEX(D6:F6,MATCH(SEL_OBJ,$D$4:$F$4,0))</f>
        <v>10000</v>
      </c>
      <c r="H6" s="9" t="s">
        <v>24</v>
      </c>
      <c r="I6" s="18" t="s">
        <v>81</v>
      </c>
    </row>
    <row r="7" customFormat="false" ht="15" hidden="false" customHeight="false" outlineLevel="0" collapsed="false">
      <c r="A7" s="15" t="s">
        <v>82</v>
      </c>
      <c r="B7" s="15" t="s">
        <v>83</v>
      </c>
      <c r="C7" s="15" t="s">
        <v>84</v>
      </c>
      <c r="D7" s="19" t="n">
        <v>3.5</v>
      </c>
      <c r="E7" s="16"/>
      <c r="F7" s="16"/>
      <c r="G7" s="20" t="n">
        <f aca="false">INDEX(D7:F7,MATCH(SEL_OBJ,$D$4:$F$4,0))</f>
        <v>3.5</v>
      </c>
      <c r="H7" s="9" t="s">
        <v>24</v>
      </c>
      <c r="I7" s="18" t="s">
        <v>3</v>
      </c>
    </row>
    <row r="8" customFormat="false" ht="15" hidden="false" customHeight="false" outlineLevel="0" collapsed="false">
      <c r="A8" s="15" t="s">
        <v>85</v>
      </c>
      <c r="B8" s="15" t="s">
        <v>86</v>
      </c>
      <c r="C8" s="15" t="s">
        <v>84</v>
      </c>
      <c r="D8" s="19" t="n">
        <v>2.8</v>
      </c>
      <c r="E8" s="16"/>
      <c r="F8" s="16"/>
      <c r="G8" s="20" t="n">
        <f aca="false">INDEX(D8:F8,MATCH(SEL_OBJ,$D$4:$F$4,0))</f>
        <v>2.8</v>
      </c>
      <c r="H8" s="9" t="s">
        <v>24</v>
      </c>
      <c r="I8" s="18" t="s">
        <v>3</v>
      </c>
    </row>
    <row r="9" customFormat="false" ht="15" hidden="false" customHeight="false" outlineLevel="0" collapsed="false">
      <c r="A9" s="15" t="s">
        <v>87</v>
      </c>
      <c r="B9" s="15" t="s">
        <v>88</v>
      </c>
      <c r="C9" s="15" t="s">
        <v>84</v>
      </c>
      <c r="D9" s="16"/>
      <c r="E9" s="16"/>
      <c r="F9" s="19" t="n">
        <v>2.4</v>
      </c>
      <c r="G9" s="17" t="n">
        <f aca="false">INDEX(D9:F9,MATCH(SEL_OBJ,$D$4:$F$4,0))</f>
        <v>0</v>
      </c>
      <c r="H9" s="9" t="s">
        <v>24</v>
      </c>
      <c r="I9" s="18" t="s">
        <v>89</v>
      </c>
    </row>
    <row r="10" customFormat="false" ht="15" hidden="false" customHeight="false" outlineLevel="0" collapsed="false">
      <c r="A10" s="15" t="s">
        <v>90</v>
      </c>
      <c r="B10" s="15" t="s">
        <v>91</v>
      </c>
      <c r="C10" s="15" t="s">
        <v>92</v>
      </c>
      <c r="D10" s="16" t="n">
        <v>1</v>
      </c>
      <c r="E10" s="16"/>
      <c r="F10" s="16" t="n">
        <v>9</v>
      </c>
      <c r="G10" s="17" t="n">
        <f aca="false">INDEX(D10:F10,MATCH(SEL_OBJ,$D$4:$F$4,0))</f>
        <v>1</v>
      </c>
      <c r="H10" s="9" t="s">
        <v>24</v>
      </c>
      <c r="I10" s="18" t="s">
        <v>93</v>
      </c>
    </row>
    <row r="11" customFormat="false" ht="15" hidden="false" customHeight="false" outlineLevel="0" collapsed="false">
      <c r="A11" s="15" t="s">
        <v>94</v>
      </c>
      <c r="B11" s="15" t="s">
        <v>95</v>
      </c>
      <c r="C11" s="15" t="s">
        <v>92</v>
      </c>
      <c r="D11" s="16"/>
      <c r="E11" s="16"/>
      <c r="F11" s="16" t="n">
        <v>4</v>
      </c>
      <c r="G11" s="17" t="n">
        <f aca="false">INDEX(D11:F11,MATCH(SEL_OBJ,$D$4:$F$4,0))</f>
        <v>0</v>
      </c>
      <c r="H11" s="9" t="s">
        <v>24</v>
      </c>
      <c r="I11" s="18" t="s">
        <v>89</v>
      </c>
    </row>
    <row r="12" customFormat="false" ht="15" hidden="false" customHeight="false" outlineLevel="0" collapsed="false">
      <c r="A12" s="15" t="s">
        <v>96</v>
      </c>
      <c r="B12" s="15" t="s">
        <v>97</v>
      </c>
      <c r="C12" s="15" t="s">
        <v>98</v>
      </c>
      <c r="D12" s="16" t="n">
        <v>2</v>
      </c>
      <c r="E12" s="16"/>
      <c r="F12" s="16" t="n">
        <v>3</v>
      </c>
      <c r="G12" s="17" t="n">
        <f aca="false">INDEX(D12:F12,MATCH(SEL_OBJ,$D$4:$F$4,0))</f>
        <v>2</v>
      </c>
      <c r="H12" s="9" t="s">
        <v>24</v>
      </c>
      <c r="I12" s="18" t="s">
        <v>99</v>
      </c>
    </row>
    <row r="13" customFormat="false" ht="15" hidden="false" customHeight="false" outlineLevel="0" collapsed="false">
      <c r="A13" s="15" t="s">
        <v>100</v>
      </c>
      <c r="B13" s="15" t="s">
        <v>101</v>
      </c>
      <c r="C13" s="15" t="s">
        <v>102</v>
      </c>
      <c r="D13" s="16" t="n">
        <v>11</v>
      </c>
      <c r="E13" s="16"/>
      <c r="F13" s="16"/>
      <c r="G13" s="17" t="n">
        <f aca="false">INDEX(D13:F13,MATCH(SEL_OBJ,$D$4:$F$4,0))</f>
        <v>11</v>
      </c>
      <c r="H13" s="9" t="s">
        <v>24</v>
      </c>
      <c r="I13" s="18" t="s">
        <v>103</v>
      </c>
    </row>
    <row r="14" customFormat="false" ht="15" hidden="false" customHeight="false" outlineLevel="0" collapsed="false">
      <c r="A14" s="15" t="s">
        <v>104</v>
      </c>
      <c r="B14" s="15" t="s">
        <v>105</v>
      </c>
      <c r="C14" s="15" t="s">
        <v>106</v>
      </c>
      <c r="D14" s="19" t="n">
        <v>1.5</v>
      </c>
      <c r="E14" s="16"/>
      <c r="F14" s="16"/>
      <c r="G14" s="20" t="n">
        <f aca="false">INDEX(D14:F14,MATCH(SEL_OBJ,$D$4:$F$4,0))</f>
        <v>1.5</v>
      </c>
      <c r="H14" s="9" t="s">
        <v>24</v>
      </c>
      <c r="I14" s="18" t="s">
        <v>107</v>
      </c>
    </row>
    <row r="15" customFormat="false" ht="15" hidden="false" customHeight="false" outlineLevel="0" collapsed="false">
      <c r="A15" s="15" t="s">
        <v>108</v>
      </c>
      <c r="B15" s="15" t="s">
        <v>109</v>
      </c>
      <c r="C15" s="15" t="s">
        <v>110</v>
      </c>
      <c r="D15" s="16" t="n">
        <v>1000</v>
      </c>
      <c r="E15" s="16"/>
      <c r="F15" s="16"/>
      <c r="G15" s="17" t="n">
        <f aca="false">INDEX(D15:F15,MATCH(SEL_OBJ,$D$4:$F$4,0))</f>
        <v>1000</v>
      </c>
      <c r="H15" s="9" t="s">
        <v>24</v>
      </c>
      <c r="I15" s="18" t="s">
        <v>3</v>
      </c>
    </row>
    <row r="16" customFormat="false" ht="15" hidden="false" customHeight="false" outlineLevel="0" collapsed="false">
      <c r="A16" s="15" t="s">
        <v>111</v>
      </c>
      <c r="B16" s="15" t="s">
        <v>112</v>
      </c>
      <c r="C16" s="15" t="s">
        <v>110</v>
      </c>
      <c r="D16" s="16" t="n">
        <v>1000</v>
      </c>
      <c r="E16" s="16"/>
      <c r="F16" s="16"/>
      <c r="G16" s="17" t="n">
        <f aca="false">INDEX(D16:F16,MATCH(SEL_OBJ,$D$4:$F$4,0))</f>
        <v>1000</v>
      </c>
      <c r="H16" s="9" t="s">
        <v>24</v>
      </c>
      <c r="I16" s="18" t="s">
        <v>3</v>
      </c>
    </row>
    <row r="17" customFormat="false" ht="15" hidden="false" customHeight="false" outlineLevel="0" collapsed="false">
      <c r="A17" s="15" t="s">
        <v>113</v>
      </c>
      <c r="B17" s="15" t="s">
        <v>114</v>
      </c>
      <c r="C17" s="15" t="s">
        <v>115</v>
      </c>
      <c r="D17" s="16" t="n">
        <v>800</v>
      </c>
      <c r="E17" s="16"/>
      <c r="F17" s="16"/>
      <c r="G17" s="17" t="n">
        <f aca="false">INDEX(D17:F17,MATCH(SEL_OBJ,$D$4:$F$4,0))</f>
        <v>800</v>
      </c>
      <c r="H17" s="9" t="s">
        <v>24</v>
      </c>
      <c r="I17" s="18" t="s">
        <v>3</v>
      </c>
    </row>
    <row r="18" customFormat="false" ht="15" hidden="false" customHeight="false" outlineLevel="0" collapsed="false">
      <c r="A18" s="15" t="s">
        <v>116</v>
      </c>
      <c r="B18" s="15" t="s">
        <v>117</v>
      </c>
      <c r="C18" s="15" t="s">
        <v>118</v>
      </c>
      <c r="D18" s="21" t="n">
        <v>0.05</v>
      </c>
      <c r="E18" s="21"/>
      <c r="F18" s="21"/>
      <c r="G18" s="22" t="n">
        <f aca="false">INDEX(D18:F18,MATCH(SEL_OBJ,$D$4:$F$4,0))</f>
        <v>0.05</v>
      </c>
      <c r="H18" s="9" t="s">
        <v>24</v>
      </c>
      <c r="I18" s="18" t="s">
        <v>119</v>
      </c>
    </row>
    <row r="19" customFormat="false" ht="15" hidden="false" customHeight="false" outlineLevel="0" collapsed="false">
      <c r="A19" s="15" t="s">
        <v>120</v>
      </c>
      <c r="B19" s="15" t="s">
        <v>121</v>
      </c>
      <c r="C19" s="15" t="s">
        <v>122</v>
      </c>
      <c r="D19" s="16"/>
      <c r="E19" s="16" t="n">
        <v>280</v>
      </c>
      <c r="F19" s="16"/>
      <c r="G19" s="17" t="n">
        <f aca="false">INDEX(D19:F19,MATCH(SEL_OBJ,$D$4:$F$4,0))</f>
        <v>0</v>
      </c>
      <c r="H19" s="9" t="s">
        <v>24</v>
      </c>
      <c r="I19" s="18" t="s">
        <v>12</v>
      </c>
    </row>
    <row r="20" customFormat="false" ht="15" hidden="false" customHeight="false" outlineLevel="0" collapsed="false">
      <c r="A20" s="15" t="s">
        <v>123</v>
      </c>
      <c r="B20" s="15" t="s">
        <v>124</v>
      </c>
      <c r="C20" s="15" t="s">
        <v>125</v>
      </c>
      <c r="D20" s="16"/>
      <c r="E20" s="16" t="n">
        <v>32</v>
      </c>
      <c r="F20" s="16"/>
      <c r="G20" s="17" t="n">
        <f aca="false">INDEX(D20:F20,MATCH(SEL_OBJ,$D$4:$F$4,0))</f>
        <v>0</v>
      </c>
      <c r="H20" s="9" t="s">
        <v>24</v>
      </c>
      <c r="I20" s="18" t="s">
        <v>12</v>
      </c>
    </row>
    <row r="21" customFormat="false" ht="15" hidden="false" customHeight="false" outlineLevel="0" collapsed="false">
      <c r="A21" s="15" t="s">
        <v>126</v>
      </c>
      <c r="B21" s="15" t="s">
        <v>127</v>
      </c>
      <c r="C21" s="15" t="s">
        <v>128</v>
      </c>
      <c r="D21" s="16"/>
      <c r="E21" s="16" t="n">
        <v>35000</v>
      </c>
      <c r="F21" s="16"/>
      <c r="G21" s="17" t="n">
        <f aca="false">INDEX(D21:F21,MATCH(SEL_OBJ,$D$4:$F$4,0))</f>
        <v>0</v>
      </c>
      <c r="H21" s="9" t="s">
        <v>24</v>
      </c>
      <c r="I21" s="18" t="s">
        <v>12</v>
      </c>
    </row>
    <row r="22" customFormat="false" ht="15" hidden="false" customHeight="false" outlineLevel="0" collapsed="false">
      <c r="A22" s="15" t="s">
        <v>129</v>
      </c>
      <c r="B22" s="15" t="s">
        <v>130</v>
      </c>
      <c r="C22" s="15" t="s">
        <v>115</v>
      </c>
      <c r="D22" s="16"/>
      <c r="E22" s="16" t="n">
        <v>18</v>
      </c>
      <c r="F22" s="16"/>
      <c r="G22" s="17" t="n">
        <f aca="false">INDEX(D22:F22,MATCH(SEL_OBJ,$D$4:$F$4,0))</f>
        <v>0</v>
      </c>
      <c r="H22" s="9" t="s">
        <v>24</v>
      </c>
      <c r="I22" s="18" t="s">
        <v>12</v>
      </c>
    </row>
    <row r="23" customFormat="false" ht="15" hidden="false" customHeight="false" outlineLevel="0" collapsed="false">
      <c r="A23" s="15" t="s">
        <v>131</v>
      </c>
      <c r="B23" s="15" t="s">
        <v>132</v>
      </c>
      <c r="C23" s="15" t="s">
        <v>133</v>
      </c>
      <c r="D23" s="16"/>
      <c r="E23" s="16" t="n">
        <v>-25</v>
      </c>
      <c r="F23" s="16"/>
      <c r="G23" s="17" t="n">
        <f aca="false">INDEX(D23:F23,MATCH(SEL_OBJ,$D$4:$F$4,0))</f>
        <v>0</v>
      </c>
      <c r="H23" s="9" t="s">
        <v>24</v>
      </c>
      <c r="I23" s="18" t="s">
        <v>134</v>
      </c>
    </row>
    <row r="24" customFormat="false" ht="15" hidden="false" customHeight="false" outlineLevel="0" collapsed="false">
      <c r="A24" s="15" t="s">
        <v>135</v>
      </c>
      <c r="B24" s="15" t="s">
        <v>136</v>
      </c>
      <c r="C24" s="15" t="s">
        <v>137</v>
      </c>
      <c r="D24" s="16"/>
      <c r="E24" s="16"/>
      <c r="F24" s="16" t="n">
        <v>3</v>
      </c>
      <c r="G24" s="17" t="n">
        <f aca="false">INDEX(D24:F24,MATCH(SEL_OBJ,$D$4:$F$4,0))</f>
        <v>0</v>
      </c>
      <c r="H24" s="9" t="s">
        <v>24</v>
      </c>
      <c r="I24" s="18" t="s">
        <v>89</v>
      </c>
    </row>
    <row r="25" customFormat="false" ht="15" hidden="false" customHeight="false" outlineLevel="0" collapsed="false">
      <c r="A25" s="15" t="s">
        <v>138</v>
      </c>
      <c r="B25" s="15" t="s">
        <v>139</v>
      </c>
      <c r="C25" s="15" t="s">
        <v>92</v>
      </c>
      <c r="D25" s="16"/>
      <c r="E25" s="16"/>
      <c r="F25" s="16" t="n">
        <v>18</v>
      </c>
      <c r="G25" s="17" t="n">
        <f aca="false">INDEX(D25:F25,MATCH(SEL_OBJ,$D$4:$F$4,0))</f>
        <v>0</v>
      </c>
      <c r="H25" s="9" t="s">
        <v>24</v>
      </c>
      <c r="I25" s="18" t="s">
        <v>89</v>
      </c>
    </row>
    <row r="26" customFormat="false" ht="15" hidden="false" customHeight="false" outlineLevel="0" collapsed="false">
      <c r="A26" s="15" t="s">
        <v>140</v>
      </c>
      <c r="B26" s="15" t="s">
        <v>141</v>
      </c>
      <c r="C26" s="15" t="s">
        <v>84</v>
      </c>
      <c r="D26" s="16"/>
      <c r="E26" s="16"/>
      <c r="F26" s="16" t="n">
        <v>180</v>
      </c>
      <c r="G26" s="17" t="n">
        <f aca="false">INDEX(D26:F26,MATCH(SEL_OBJ,$D$4:$F$4,0))</f>
        <v>0</v>
      </c>
      <c r="H26" s="9" t="s">
        <v>24</v>
      </c>
      <c r="I26" s="18" t="s">
        <v>89</v>
      </c>
    </row>
    <row r="27" customFormat="false" ht="15" hidden="false" customHeight="false" outlineLevel="0" collapsed="false">
      <c r="A27" s="15" t="s">
        <v>142</v>
      </c>
      <c r="B27" s="15" t="s">
        <v>143</v>
      </c>
      <c r="C27" s="15" t="s">
        <v>115</v>
      </c>
      <c r="D27" s="16"/>
      <c r="E27" s="16"/>
      <c r="F27" s="16" t="n">
        <v>120</v>
      </c>
      <c r="G27" s="17" t="n">
        <f aca="false">INDEX(D27:F27,MATCH(SEL_OBJ,$D$4:$F$4,0))</f>
        <v>0</v>
      </c>
      <c r="H27" s="9" t="s">
        <v>24</v>
      </c>
      <c r="I27" s="18" t="s">
        <v>89</v>
      </c>
    </row>
    <row r="28" customFormat="false" ht="15" hidden="false" customHeight="false" outlineLevel="0" collapsed="false">
      <c r="A28" s="15" t="s">
        <v>144</v>
      </c>
      <c r="B28" s="15" t="s">
        <v>145</v>
      </c>
      <c r="C28" s="15" t="s">
        <v>92</v>
      </c>
      <c r="D28" s="16"/>
      <c r="E28" s="16"/>
      <c r="F28" s="16" t="n">
        <v>18</v>
      </c>
      <c r="G28" s="17" t="n">
        <f aca="false">INDEX(D28:F28,MATCH(SEL_OBJ,$D$4:$F$4,0))</f>
        <v>0</v>
      </c>
      <c r="H28" s="9" t="s">
        <v>24</v>
      </c>
      <c r="I28" s="18" t="s">
        <v>89</v>
      </c>
    </row>
    <row r="29" customFormat="false" ht="15" hidden="false" customHeight="false" outlineLevel="0" collapsed="false">
      <c r="A29" s="15" t="s">
        <v>146</v>
      </c>
      <c r="B29" s="15" t="s">
        <v>147</v>
      </c>
      <c r="C29" s="15" t="s">
        <v>137</v>
      </c>
      <c r="D29" s="16"/>
      <c r="E29" s="16"/>
      <c r="F29" s="19" t="n">
        <v>1.3</v>
      </c>
      <c r="G29" s="17" t="n">
        <f aca="false">INDEX(D29:F29,MATCH(SEL_OBJ,$D$4:$F$4,0))</f>
        <v>0</v>
      </c>
      <c r="H29" s="9" t="s">
        <v>24</v>
      </c>
      <c r="I29" s="18" t="s">
        <v>89</v>
      </c>
    </row>
    <row r="30" customFormat="false" ht="15" hidden="false" customHeight="false" outlineLevel="0" collapsed="false">
      <c r="A30" s="15" t="s">
        <v>148</v>
      </c>
      <c r="B30" s="15" t="s">
        <v>149</v>
      </c>
      <c r="C30" s="15" t="s">
        <v>115</v>
      </c>
      <c r="D30" s="16"/>
      <c r="E30" s="16"/>
      <c r="F30" s="16" t="n">
        <v>55</v>
      </c>
      <c r="G30" s="17" t="n">
        <f aca="false">INDEX(D30:F30,MATCH(SEL_OBJ,$D$4:$F$4,0))</f>
        <v>0</v>
      </c>
      <c r="H30" s="9" t="s">
        <v>24</v>
      </c>
      <c r="I30" s="18" t="s">
        <v>89</v>
      </c>
    </row>
    <row r="31" customFormat="false" ht="15" hidden="false" customHeight="false" outlineLevel="0" collapsed="false">
      <c r="A31" s="15" t="s">
        <v>150</v>
      </c>
      <c r="B31" s="15" t="s">
        <v>151</v>
      </c>
      <c r="C31" s="15" t="s">
        <v>122</v>
      </c>
      <c r="D31" s="16"/>
      <c r="E31" s="16"/>
      <c r="F31" s="16" t="n">
        <v>45</v>
      </c>
      <c r="G31" s="17" t="n">
        <f aca="false">INDEX(D31:F31,MATCH(SEL_OBJ,$D$4:$F$4,0))</f>
        <v>0</v>
      </c>
      <c r="H31" s="9" t="s">
        <v>24</v>
      </c>
      <c r="I31" s="18" t="s">
        <v>89</v>
      </c>
    </row>
    <row r="32" customFormat="false" ht="15" hidden="false" customHeight="false" outlineLevel="0" collapsed="false">
      <c r="A32" s="15" t="s">
        <v>152</v>
      </c>
      <c r="B32" s="15" t="s">
        <v>153</v>
      </c>
      <c r="C32" s="15" t="s">
        <v>92</v>
      </c>
      <c r="D32" s="16"/>
      <c r="E32" s="16"/>
      <c r="F32" s="16" t="n">
        <v>20</v>
      </c>
      <c r="G32" s="17" t="n">
        <f aca="false">INDEX(D32:F32,MATCH(SEL_OBJ,$D$4:$F$4,0))</f>
        <v>0</v>
      </c>
      <c r="H32" s="9" t="s">
        <v>24</v>
      </c>
      <c r="I32" s="18" t="s">
        <v>89</v>
      </c>
    </row>
    <row r="33" customFormat="false" ht="15" hidden="false" customHeight="false" outlineLevel="0" collapsed="false">
      <c r="A33" s="15" t="s">
        <v>154</v>
      </c>
      <c r="B33" s="15" t="s">
        <v>155</v>
      </c>
      <c r="C33" s="15" t="s">
        <v>137</v>
      </c>
      <c r="D33" s="16"/>
      <c r="E33" s="16"/>
      <c r="F33" s="16" t="n">
        <v>2</v>
      </c>
      <c r="G33" s="17" t="n">
        <f aca="false">INDEX(D33:F33,MATCH(SEL_OBJ,$D$4:$F$4,0))</f>
        <v>0</v>
      </c>
      <c r="H33" s="9" t="s">
        <v>24</v>
      </c>
      <c r="I33" s="18" t="s">
        <v>89</v>
      </c>
    </row>
    <row r="34" customFormat="false" ht="22.35" hidden="false" customHeight="false" outlineLevel="0" collapsed="false">
      <c r="A34" s="15" t="s">
        <v>156</v>
      </c>
      <c r="B34" s="15" t="s">
        <v>157</v>
      </c>
      <c r="C34" s="15" t="s">
        <v>158</v>
      </c>
      <c r="D34" s="16" t="n">
        <v>25</v>
      </c>
      <c r="E34" s="16" t="n">
        <v>320</v>
      </c>
      <c r="F34" s="16" t="n">
        <v>65</v>
      </c>
      <c r="G34" s="17" t="n">
        <f aca="false">INDEX(D34:F34,MATCH(SEL_OBJ,$D$4:$F$4,0))</f>
        <v>25</v>
      </c>
      <c r="H34" s="9" t="s">
        <v>24</v>
      </c>
      <c r="I34" s="18" t="s">
        <v>159</v>
      </c>
    </row>
    <row r="35" customFormat="false" ht="15" hidden="false" customHeight="false" outlineLevel="0" collapsed="false">
      <c r="A35" s="15" t="s">
        <v>160</v>
      </c>
      <c r="B35" s="15" t="s">
        <v>161</v>
      </c>
      <c r="C35" s="15" t="s">
        <v>162</v>
      </c>
      <c r="D35" s="16" t="n">
        <v>120000</v>
      </c>
      <c r="E35" s="16" t="n">
        <v>100000</v>
      </c>
      <c r="F35" s="16" t="n">
        <v>55000</v>
      </c>
      <c r="G35" s="17" t="n">
        <f aca="false">INDEX(D35:F35,MATCH(SEL_OBJ,$D$4:$F$4,0))</f>
        <v>120000</v>
      </c>
      <c r="H35" s="9" t="s">
        <v>24</v>
      </c>
      <c r="I35" s="18" t="s">
        <v>163</v>
      </c>
    </row>
    <row r="36" customFormat="false" ht="15" hidden="false" customHeight="false" outlineLevel="0" collapsed="false">
      <c r="A36" s="15" t="s">
        <v>164</v>
      </c>
      <c r="B36" s="15" t="s">
        <v>165</v>
      </c>
      <c r="C36" s="15" t="s">
        <v>158</v>
      </c>
      <c r="D36" s="16"/>
      <c r="E36" s="16"/>
      <c r="F36" s="16" t="n">
        <v>28</v>
      </c>
      <c r="G36" s="17" t="n">
        <f aca="false">INDEX(D36:F36,MATCH(SEL_OBJ,$D$4:$F$4,0))</f>
        <v>0</v>
      </c>
      <c r="H36" s="9" t="s">
        <v>24</v>
      </c>
      <c r="I36" s="18" t="s">
        <v>166</v>
      </c>
    </row>
    <row r="37" customFormat="false" ht="15" hidden="false" customHeight="false" outlineLevel="0" collapsed="false">
      <c r="A37" s="15" t="s">
        <v>167</v>
      </c>
      <c r="B37" s="15" t="s">
        <v>168</v>
      </c>
      <c r="C37" s="15" t="s">
        <v>162</v>
      </c>
      <c r="D37" s="16"/>
      <c r="E37" s="16"/>
      <c r="F37" s="16" t="n">
        <v>52000</v>
      </c>
      <c r="G37" s="17" t="n">
        <f aca="false">INDEX(D37:F37,MATCH(SEL_OBJ,$D$4:$F$4,0))</f>
        <v>0</v>
      </c>
      <c r="H37" s="9" t="s">
        <v>24</v>
      </c>
      <c r="I37" s="18" t="s">
        <v>89</v>
      </c>
    </row>
    <row r="38" customFormat="false" ht="15" hidden="false" customHeight="false" outlineLevel="0" collapsed="false">
      <c r="A38" s="15" t="s">
        <v>169</v>
      </c>
      <c r="B38" s="15" t="s">
        <v>170</v>
      </c>
      <c r="C38" s="15" t="s">
        <v>158</v>
      </c>
      <c r="D38" s="16"/>
      <c r="E38" s="16"/>
      <c r="F38" s="16" t="n">
        <v>18</v>
      </c>
      <c r="G38" s="17" t="n">
        <f aca="false">INDEX(D38:F38,MATCH(SEL_OBJ,$D$4:$F$4,0))</f>
        <v>0</v>
      </c>
      <c r="H38" s="9" t="s">
        <v>24</v>
      </c>
      <c r="I38" s="18" t="s">
        <v>171</v>
      </c>
    </row>
    <row r="39" customFormat="false" ht="15" hidden="false" customHeight="false" outlineLevel="0" collapsed="false">
      <c r="A39" s="15" t="s">
        <v>172</v>
      </c>
      <c r="B39" s="15" t="s">
        <v>173</v>
      </c>
      <c r="C39" s="15" t="s">
        <v>118</v>
      </c>
      <c r="D39" s="21" t="n">
        <v>0.25</v>
      </c>
      <c r="E39" s="21"/>
      <c r="F39" s="21"/>
      <c r="G39" s="22" t="n">
        <f aca="false">INDEX(D39:F39,MATCH(SEL_OBJ,$D$4:$F$4,0))</f>
        <v>0.25</v>
      </c>
      <c r="H39" s="9" t="s">
        <v>24</v>
      </c>
      <c r="I39" s="18" t="s">
        <v>174</v>
      </c>
    </row>
    <row r="40" customFormat="false" ht="15" hidden="false" customHeight="false" outlineLevel="0" collapsed="false">
      <c r="A40" s="15" t="s">
        <v>175</v>
      </c>
      <c r="B40" s="15" t="s">
        <v>176</v>
      </c>
      <c r="C40" s="15" t="s">
        <v>118</v>
      </c>
      <c r="D40" s="21"/>
      <c r="E40" s="21" t="n">
        <v>0.35</v>
      </c>
      <c r="F40" s="21" t="n">
        <v>0.45</v>
      </c>
      <c r="G40" s="22" t="n">
        <f aca="false">INDEX(D40:F40,MATCH(SEL_OBJ,$D$4:$F$4,0))</f>
        <v>0</v>
      </c>
      <c r="H40" s="9" t="s">
        <v>24</v>
      </c>
      <c r="I40" s="18" t="s">
        <v>177</v>
      </c>
    </row>
    <row r="41" customFormat="false" ht="15" hidden="false" customHeight="false" outlineLevel="0" collapsed="false">
      <c r="A41" s="15" t="s">
        <v>178</v>
      </c>
      <c r="B41" s="15" t="s">
        <v>179</v>
      </c>
      <c r="C41" s="15" t="s">
        <v>180</v>
      </c>
      <c r="D41" s="16" t="n">
        <v>500</v>
      </c>
      <c r="E41" s="16" t="n">
        <v>300</v>
      </c>
      <c r="F41" s="16" t="n">
        <v>80</v>
      </c>
      <c r="G41" s="17" t="n">
        <f aca="false">INDEX(D41:F41,MATCH(SEL_OBJ,$D$4:$F$4,0))</f>
        <v>500</v>
      </c>
      <c r="H41" s="9" t="s">
        <v>24</v>
      </c>
      <c r="I41" s="18" t="s">
        <v>163</v>
      </c>
    </row>
    <row r="42" customFormat="false" ht="15" hidden="false" customHeight="false" outlineLevel="0" collapsed="false">
      <c r="A42" s="15" t="s">
        <v>181</v>
      </c>
      <c r="B42" s="15" t="s">
        <v>182</v>
      </c>
      <c r="C42" s="15" t="s">
        <v>183</v>
      </c>
      <c r="D42" s="16" t="n">
        <v>80</v>
      </c>
      <c r="E42" s="16" t="n">
        <v>120</v>
      </c>
      <c r="F42" s="16" t="n">
        <v>35</v>
      </c>
      <c r="G42" s="17" t="n">
        <f aca="false">INDEX(D42:F42,MATCH(SEL_OBJ,$D$4:$F$4,0))</f>
        <v>80</v>
      </c>
      <c r="H42" s="9" t="s">
        <v>24</v>
      </c>
      <c r="I42" s="18" t="s">
        <v>163</v>
      </c>
    </row>
    <row r="43" customFormat="false" ht="15" hidden="false" customHeight="false" outlineLevel="0" collapsed="false">
      <c r="A43" s="15" t="s">
        <v>184</v>
      </c>
      <c r="B43" s="15" t="s">
        <v>185</v>
      </c>
      <c r="C43" s="15" t="s">
        <v>186</v>
      </c>
      <c r="D43" s="16" t="n">
        <v>5</v>
      </c>
      <c r="E43" s="16" t="n">
        <v>7</v>
      </c>
      <c r="F43" s="16" t="n">
        <v>7</v>
      </c>
      <c r="G43" s="17" t="n">
        <f aca="false">INDEX(D43:F43,MATCH(SEL_OBJ,$D$4:$F$4,0))</f>
        <v>5</v>
      </c>
      <c r="H43" s="9" t="s">
        <v>24</v>
      </c>
      <c r="I43" s="18" t="s">
        <v>163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58"/>
    <col collapsed="false" customWidth="true" hidden="false" outlineLevel="0" max="3" min="3" style="0" width="11"/>
    <col collapsed="false" customWidth="true" hidden="false" outlineLevel="0" max="4" min="4" style="0" width="24"/>
    <col collapsed="false" customWidth="true" hidden="false" outlineLevel="0" max="5" min="5" style="0" width="30"/>
    <col collapsed="false" customWidth="true" hidden="false" outlineLevel="0" max="6" min="6" style="0" width="55"/>
    <col collapsed="false" customWidth="true" hidden="false" outlineLevel="0" max="7" min="7" style="0" width="16"/>
    <col collapsed="false" customWidth="true" hidden="false" outlineLevel="0" max="10" min="8" style="0" width="19"/>
  </cols>
  <sheetData>
    <row r="1" customFormat="false" ht="17.35" hidden="false" customHeight="false" outlineLevel="0" collapsed="false">
      <c r="A1" s="1" t="s">
        <v>187</v>
      </c>
    </row>
    <row r="2" customFormat="false" ht="15" hidden="false" customHeight="false" outlineLevel="0" collapsed="false">
      <c r="A2" s="2" t="s">
        <v>188</v>
      </c>
    </row>
    <row r="4" customFormat="false" ht="31.5" hidden="false" customHeight="true" outlineLevel="0" collapsed="false">
      <c r="A4" s="5" t="s">
        <v>69</v>
      </c>
      <c r="B4" s="5" t="s">
        <v>189</v>
      </c>
      <c r="C4" s="5" t="s">
        <v>71</v>
      </c>
      <c r="D4" s="5" t="s">
        <v>190</v>
      </c>
      <c r="E4" s="5" t="s">
        <v>73</v>
      </c>
      <c r="F4" s="5" t="s">
        <v>191</v>
      </c>
      <c r="G4" s="5" t="s">
        <v>192</v>
      </c>
    </row>
    <row r="5" customFormat="false" ht="15" hidden="false" customHeight="false" outlineLevel="0" collapsed="false">
      <c r="A5" s="15" t="s">
        <v>193</v>
      </c>
      <c r="B5" s="15" t="s">
        <v>194</v>
      </c>
      <c r="C5" s="15" t="s">
        <v>106</v>
      </c>
      <c r="D5" s="19" t="n">
        <v>1.302</v>
      </c>
      <c r="E5" s="11" t="s">
        <v>30</v>
      </c>
      <c r="F5" s="18" t="s">
        <v>195</v>
      </c>
      <c r="G5" s="18" t="s">
        <v>196</v>
      </c>
    </row>
    <row r="6" customFormat="false" ht="15" hidden="false" customHeight="false" outlineLevel="0" collapsed="false">
      <c r="A6" s="15" t="s">
        <v>197</v>
      </c>
      <c r="B6" s="15" t="s">
        <v>198</v>
      </c>
      <c r="C6" s="15" t="s">
        <v>118</v>
      </c>
      <c r="D6" s="21" t="n">
        <v>0.8</v>
      </c>
      <c r="E6" s="11" t="s">
        <v>30</v>
      </c>
      <c r="F6" s="18" t="s">
        <v>199</v>
      </c>
      <c r="G6" s="18" t="s">
        <v>200</v>
      </c>
    </row>
    <row r="7" customFormat="false" ht="15" hidden="false" customHeight="false" outlineLevel="0" collapsed="false">
      <c r="A7" s="15" t="s">
        <v>201</v>
      </c>
      <c r="B7" s="15" t="s">
        <v>202</v>
      </c>
      <c r="C7" s="15" t="s">
        <v>118</v>
      </c>
      <c r="D7" s="23" t="n">
        <v>0.95</v>
      </c>
      <c r="E7" s="12" t="s">
        <v>32</v>
      </c>
      <c r="F7" s="18" t="s">
        <v>203</v>
      </c>
      <c r="G7" s="18" t="s">
        <v>200</v>
      </c>
    </row>
    <row r="8" customFormat="false" ht="15" hidden="false" customHeight="false" outlineLevel="0" collapsed="false">
      <c r="A8" s="15" t="s">
        <v>204</v>
      </c>
      <c r="B8" s="15" t="s">
        <v>205</v>
      </c>
      <c r="C8" s="15" t="s">
        <v>118</v>
      </c>
      <c r="D8" s="21" t="n">
        <v>0.15</v>
      </c>
      <c r="E8" s="11" t="s">
        <v>30</v>
      </c>
      <c r="F8" s="18" t="s">
        <v>206</v>
      </c>
      <c r="G8" s="18" t="s">
        <v>200</v>
      </c>
    </row>
    <row r="9" customFormat="false" ht="15" hidden="false" customHeight="false" outlineLevel="0" collapsed="false">
      <c r="A9" s="15" t="s">
        <v>207</v>
      </c>
      <c r="B9" s="15" t="s">
        <v>208</v>
      </c>
      <c r="C9" s="15" t="s">
        <v>106</v>
      </c>
      <c r="D9" s="24" t="n">
        <v>0.6</v>
      </c>
      <c r="E9" s="12" t="s">
        <v>32</v>
      </c>
      <c r="F9" s="18" t="s">
        <v>209</v>
      </c>
      <c r="G9" s="18" t="s">
        <v>200</v>
      </c>
    </row>
    <row r="10" customFormat="false" ht="15" hidden="false" customHeight="false" outlineLevel="0" collapsed="false">
      <c r="A10" s="15" t="s">
        <v>210</v>
      </c>
      <c r="B10" s="15" t="s">
        <v>211</v>
      </c>
      <c r="C10" s="15" t="s">
        <v>92</v>
      </c>
      <c r="D10" s="25" t="n">
        <v>4</v>
      </c>
      <c r="E10" s="12" t="s">
        <v>32</v>
      </c>
      <c r="F10" s="18" t="s">
        <v>212</v>
      </c>
      <c r="G10" s="18" t="s">
        <v>200</v>
      </c>
    </row>
    <row r="11" customFormat="false" ht="15" hidden="false" customHeight="false" outlineLevel="0" collapsed="false">
      <c r="A11" s="15" t="s">
        <v>213</v>
      </c>
      <c r="B11" s="15" t="s">
        <v>214</v>
      </c>
      <c r="C11" s="15" t="s">
        <v>215</v>
      </c>
      <c r="D11" s="25" t="n">
        <v>250000</v>
      </c>
      <c r="E11" s="12" t="s">
        <v>32</v>
      </c>
      <c r="F11" s="18" t="s">
        <v>216</v>
      </c>
      <c r="G11" s="18" t="s">
        <v>217</v>
      </c>
    </row>
    <row r="12" customFormat="false" ht="15" hidden="false" customHeight="false" outlineLevel="0" collapsed="false">
      <c r="A12" s="15" t="s">
        <v>218</v>
      </c>
      <c r="B12" s="15" t="s">
        <v>219</v>
      </c>
      <c r="C12" s="15" t="s">
        <v>180</v>
      </c>
      <c r="D12" s="25" t="n">
        <v>5</v>
      </c>
      <c r="E12" s="12" t="s">
        <v>32</v>
      </c>
      <c r="F12" s="18" t="s">
        <v>220</v>
      </c>
      <c r="G12" s="18" t="s">
        <v>200</v>
      </c>
    </row>
    <row r="13" customFormat="false" ht="15" hidden="false" customHeight="false" outlineLevel="0" collapsed="false">
      <c r="A13" s="15" t="s">
        <v>221</v>
      </c>
      <c r="B13" s="15" t="s">
        <v>222</v>
      </c>
      <c r="C13" s="15" t="s">
        <v>118</v>
      </c>
      <c r="D13" s="23" t="n">
        <v>0.1</v>
      </c>
      <c r="E13" s="12" t="s">
        <v>32</v>
      </c>
      <c r="F13" s="18" t="s">
        <v>223</v>
      </c>
      <c r="G13" s="18" t="s">
        <v>217</v>
      </c>
    </row>
    <row r="14" customFormat="false" ht="15" hidden="false" customHeight="false" outlineLevel="0" collapsed="false">
      <c r="A14" s="15" t="s">
        <v>224</v>
      </c>
      <c r="B14" s="15" t="s">
        <v>225</v>
      </c>
      <c r="C14" s="15" t="s">
        <v>118</v>
      </c>
      <c r="D14" s="23" t="n">
        <v>0.02</v>
      </c>
      <c r="E14" s="12" t="s">
        <v>32</v>
      </c>
      <c r="F14" s="18" t="s">
        <v>226</v>
      </c>
      <c r="G14" s="18" t="s">
        <v>217</v>
      </c>
    </row>
    <row r="15" customFormat="false" ht="15" hidden="false" customHeight="false" outlineLevel="0" collapsed="false">
      <c r="A15" s="15" t="s">
        <v>227</v>
      </c>
      <c r="B15" s="15" t="s">
        <v>228</v>
      </c>
      <c r="C15" s="15" t="s">
        <v>118</v>
      </c>
      <c r="D15" s="23" t="n">
        <v>0.05</v>
      </c>
      <c r="E15" s="12" t="s">
        <v>32</v>
      </c>
      <c r="F15" s="18" t="s">
        <v>226</v>
      </c>
      <c r="G15" s="18" t="s">
        <v>217</v>
      </c>
    </row>
    <row r="16" customFormat="false" ht="15" hidden="false" customHeight="false" outlineLevel="0" collapsed="false">
      <c r="A16" s="15" t="s">
        <v>229</v>
      </c>
      <c r="B16" s="15" t="s">
        <v>230</v>
      </c>
      <c r="C16" s="15" t="s">
        <v>215</v>
      </c>
      <c r="D16" s="25" t="n">
        <v>300000</v>
      </c>
      <c r="E16" s="12" t="s">
        <v>32</v>
      </c>
      <c r="F16" s="18" t="s">
        <v>231</v>
      </c>
      <c r="G16" s="18" t="s">
        <v>217</v>
      </c>
    </row>
    <row r="17" customFormat="false" ht="15" hidden="false" customHeight="false" outlineLevel="0" collapsed="false">
      <c r="A17" s="15" t="s">
        <v>232</v>
      </c>
      <c r="B17" s="15" t="s">
        <v>233</v>
      </c>
      <c r="C17" s="15" t="s">
        <v>118</v>
      </c>
      <c r="D17" s="21" t="n">
        <v>0.1</v>
      </c>
      <c r="E17" s="11" t="s">
        <v>30</v>
      </c>
      <c r="F17" s="18" t="s">
        <v>234</v>
      </c>
      <c r="G17" s="18" t="s">
        <v>217</v>
      </c>
    </row>
    <row r="18" customFormat="false" ht="15" hidden="false" customHeight="false" outlineLevel="0" collapsed="false">
      <c r="A18" s="15" t="s">
        <v>235</v>
      </c>
      <c r="B18" s="15" t="s">
        <v>236</v>
      </c>
      <c r="C18" s="15" t="s">
        <v>118</v>
      </c>
      <c r="D18" s="23" t="n">
        <v>0.08</v>
      </c>
      <c r="E18" s="12" t="s">
        <v>32</v>
      </c>
      <c r="F18" s="18" t="s">
        <v>237</v>
      </c>
      <c r="G18" s="18" t="s">
        <v>238</v>
      </c>
    </row>
    <row r="19" customFormat="false" ht="15" hidden="false" customHeight="false" outlineLevel="0" collapsed="false">
      <c r="A19" s="15" t="s">
        <v>239</v>
      </c>
      <c r="B19" s="15" t="s">
        <v>240</v>
      </c>
      <c r="C19" s="15" t="s">
        <v>118</v>
      </c>
      <c r="D19" s="23" t="n">
        <v>0.03</v>
      </c>
      <c r="E19" s="12" t="s">
        <v>32</v>
      </c>
      <c r="F19" s="18"/>
      <c r="G19" s="18" t="s">
        <v>238</v>
      </c>
    </row>
    <row r="20" customFormat="false" ht="15" hidden="false" customHeight="false" outlineLevel="0" collapsed="false">
      <c r="A20" s="15" t="s">
        <v>241</v>
      </c>
      <c r="B20" s="15" t="s">
        <v>242</v>
      </c>
      <c r="C20" s="15" t="s">
        <v>118</v>
      </c>
      <c r="D20" s="23" t="n">
        <v>0.02</v>
      </c>
      <c r="E20" s="12" t="s">
        <v>32</v>
      </c>
      <c r="F20" s="18"/>
      <c r="G20" s="18" t="s">
        <v>238</v>
      </c>
    </row>
    <row r="21" customFormat="false" ht="15" hidden="false" customHeight="false" outlineLevel="0" collapsed="false">
      <c r="A21" s="15" t="s">
        <v>243</v>
      </c>
      <c r="B21" s="15" t="s">
        <v>244</v>
      </c>
      <c r="C21" s="15" t="s">
        <v>245</v>
      </c>
      <c r="D21" s="24" t="n">
        <v>7.5</v>
      </c>
      <c r="E21" s="12" t="s">
        <v>32</v>
      </c>
      <c r="F21" s="18" t="s">
        <v>246</v>
      </c>
      <c r="G21" s="18" t="s">
        <v>238</v>
      </c>
    </row>
    <row r="22" customFormat="false" ht="15" hidden="false" customHeight="false" outlineLevel="0" collapsed="false">
      <c r="A22" s="15" t="s">
        <v>247</v>
      </c>
      <c r="B22" s="15" t="s">
        <v>248</v>
      </c>
      <c r="C22" s="15" t="s">
        <v>186</v>
      </c>
      <c r="D22" s="16" t="n">
        <v>4</v>
      </c>
      <c r="E22" s="11" t="s">
        <v>30</v>
      </c>
      <c r="F22" s="18" t="s">
        <v>249</v>
      </c>
      <c r="G22" s="18" t="s">
        <v>250</v>
      </c>
    </row>
    <row r="23" customFormat="false" ht="15" hidden="false" customHeight="false" outlineLevel="0" collapsed="false">
      <c r="A23" s="15" t="s">
        <v>251</v>
      </c>
      <c r="B23" s="15" t="s">
        <v>252</v>
      </c>
      <c r="C23" s="15" t="s">
        <v>118</v>
      </c>
      <c r="D23" s="23" t="n">
        <v>0.1</v>
      </c>
      <c r="E23" s="12" t="s">
        <v>32</v>
      </c>
      <c r="F23" s="18"/>
      <c r="G23" s="18" t="s">
        <v>250</v>
      </c>
    </row>
    <row r="24" customFormat="false" ht="15" hidden="false" customHeight="false" outlineLevel="0" collapsed="false">
      <c r="A24" s="15" t="s">
        <v>253</v>
      </c>
      <c r="B24" s="15" t="s">
        <v>254</v>
      </c>
      <c r="C24" s="15" t="s">
        <v>255</v>
      </c>
      <c r="D24" s="25" t="n">
        <v>60000</v>
      </c>
      <c r="E24" s="12" t="s">
        <v>32</v>
      </c>
      <c r="F24" s="18"/>
      <c r="G24" s="18" t="s">
        <v>238</v>
      </c>
    </row>
    <row r="25" customFormat="false" ht="15" hidden="false" customHeight="false" outlineLevel="0" collapsed="false">
      <c r="A25" s="15" t="s">
        <v>256</v>
      </c>
      <c r="B25" s="15" t="s">
        <v>257</v>
      </c>
      <c r="C25" s="15" t="s">
        <v>186</v>
      </c>
      <c r="D25" s="25" t="n">
        <v>7</v>
      </c>
      <c r="E25" s="12" t="s">
        <v>32</v>
      </c>
      <c r="F25" s="18" t="s">
        <v>258</v>
      </c>
      <c r="G25" s="18" t="s">
        <v>259</v>
      </c>
    </row>
    <row r="26" customFormat="false" ht="15" hidden="false" customHeight="false" outlineLevel="0" collapsed="false">
      <c r="A26" s="15" t="s">
        <v>260</v>
      </c>
      <c r="B26" s="15" t="s">
        <v>261</v>
      </c>
      <c r="C26" s="15" t="s">
        <v>118</v>
      </c>
      <c r="D26" s="23" t="n">
        <v>0.03</v>
      </c>
      <c r="E26" s="12" t="s">
        <v>32</v>
      </c>
      <c r="F26" s="18" t="s">
        <v>262</v>
      </c>
      <c r="G26" s="18" t="s">
        <v>238</v>
      </c>
    </row>
    <row r="27" customFormat="false" ht="15" hidden="false" customHeight="false" outlineLevel="0" collapsed="false">
      <c r="A27" s="15" t="s">
        <v>263</v>
      </c>
      <c r="B27" s="15" t="s">
        <v>264</v>
      </c>
      <c r="C27" s="15" t="s">
        <v>118</v>
      </c>
      <c r="D27" s="23" t="n">
        <v>0.05</v>
      </c>
      <c r="E27" s="12" t="s">
        <v>32</v>
      </c>
      <c r="F27" s="18"/>
      <c r="G27" s="18" t="s">
        <v>217</v>
      </c>
    </row>
    <row r="28" customFormat="false" ht="22.35" hidden="false" customHeight="false" outlineLevel="0" collapsed="false">
      <c r="A28" s="15" t="s">
        <v>265</v>
      </c>
      <c r="B28" s="15" t="s">
        <v>266</v>
      </c>
      <c r="C28" s="15" t="s">
        <v>118</v>
      </c>
      <c r="D28" s="23" t="n">
        <v>0</v>
      </c>
      <c r="E28" s="12" t="s">
        <v>32</v>
      </c>
      <c r="F28" s="18" t="s">
        <v>267</v>
      </c>
      <c r="G28" s="18" t="s">
        <v>268</v>
      </c>
    </row>
    <row r="29" customFormat="false" ht="15" hidden="false" customHeight="false" outlineLevel="0" collapsed="false">
      <c r="A29" s="15" t="s">
        <v>269</v>
      </c>
      <c r="B29" s="15" t="s">
        <v>270</v>
      </c>
      <c r="C29" s="15" t="s">
        <v>271</v>
      </c>
      <c r="D29" s="24" t="n">
        <v>0.5</v>
      </c>
      <c r="E29" s="12" t="s">
        <v>32</v>
      </c>
      <c r="F29" s="18" t="s">
        <v>272</v>
      </c>
      <c r="G29" s="18" t="s">
        <v>259</v>
      </c>
    </row>
    <row r="30" customFormat="false" ht="15" hidden="false" customHeight="false" outlineLevel="0" collapsed="false">
      <c r="A30" s="15" t="s">
        <v>273</v>
      </c>
      <c r="B30" s="15" t="s">
        <v>274</v>
      </c>
      <c r="C30" s="15" t="s">
        <v>118</v>
      </c>
      <c r="D30" s="23" t="n">
        <v>0.15</v>
      </c>
      <c r="E30" s="12" t="s">
        <v>32</v>
      </c>
      <c r="F30" s="18" t="s">
        <v>275</v>
      </c>
      <c r="G30" s="18" t="s">
        <v>268</v>
      </c>
    </row>
    <row r="31" customFormat="false" ht="15" hidden="false" customHeight="false" outlineLevel="0" collapsed="false">
      <c r="A31" s="15" t="s">
        <v>276</v>
      </c>
      <c r="B31" s="15" t="s">
        <v>277</v>
      </c>
      <c r="C31" s="15" t="s">
        <v>118</v>
      </c>
      <c r="D31" s="21" t="n">
        <v>0</v>
      </c>
      <c r="E31" s="11" t="s">
        <v>30</v>
      </c>
      <c r="F31" s="18" t="s">
        <v>278</v>
      </c>
      <c r="G31" s="18" t="s">
        <v>238</v>
      </c>
    </row>
    <row r="32" customFormat="false" ht="15" hidden="false" customHeight="false" outlineLevel="0" collapsed="false">
      <c r="A32" s="15" t="s">
        <v>279</v>
      </c>
      <c r="B32" s="15" t="s">
        <v>280</v>
      </c>
      <c r="C32" s="15" t="s">
        <v>118</v>
      </c>
      <c r="D32" s="23" t="n">
        <v>0.2</v>
      </c>
      <c r="E32" s="12" t="s">
        <v>32</v>
      </c>
      <c r="F32" s="18" t="s">
        <v>281</v>
      </c>
      <c r="G32" s="18" t="s">
        <v>238</v>
      </c>
    </row>
    <row r="33" customFormat="false" ht="15" hidden="false" customHeight="false" outlineLevel="0" collapsed="false">
      <c r="A33" s="15" t="s">
        <v>282</v>
      </c>
      <c r="B33" s="15" t="s">
        <v>283</v>
      </c>
      <c r="C33" s="15" t="s">
        <v>186</v>
      </c>
      <c r="D33" s="25" t="n">
        <v>3</v>
      </c>
      <c r="E33" s="12" t="s">
        <v>32</v>
      </c>
      <c r="F33" s="18"/>
      <c r="G33" s="18" t="s">
        <v>238</v>
      </c>
    </row>
    <row r="34" customFormat="false" ht="15" hidden="false" customHeight="false" outlineLevel="0" collapsed="false">
      <c r="A34" s="15" t="s">
        <v>284</v>
      </c>
      <c r="B34" s="15" t="s">
        <v>285</v>
      </c>
      <c r="C34" s="15" t="s">
        <v>186</v>
      </c>
      <c r="D34" s="16" t="n">
        <v>3</v>
      </c>
      <c r="E34" s="11" t="s">
        <v>30</v>
      </c>
      <c r="F34" s="18" t="s">
        <v>286</v>
      </c>
      <c r="G34" s="18" t="s">
        <v>259</v>
      </c>
    </row>
    <row r="35" customFormat="false" ht="15" hidden="false" customHeight="false" outlineLevel="0" collapsed="false">
      <c r="A35" s="15" t="s">
        <v>287</v>
      </c>
      <c r="B35" s="15" t="s">
        <v>288</v>
      </c>
      <c r="C35" s="15" t="s">
        <v>186</v>
      </c>
      <c r="D35" s="16" t="n">
        <v>5</v>
      </c>
      <c r="E35" s="11" t="s">
        <v>30</v>
      </c>
      <c r="F35" s="18" t="s">
        <v>286</v>
      </c>
      <c r="G35" s="18" t="s">
        <v>259</v>
      </c>
    </row>
    <row r="36" customFormat="false" ht="15" hidden="false" customHeight="false" outlineLevel="0" collapsed="false">
      <c r="A36" s="15" t="s">
        <v>289</v>
      </c>
      <c r="B36" s="15" t="s">
        <v>290</v>
      </c>
      <c r="C36" s="15" t="s">
        <v>118</v>
      </c>
      <c r="D36" s="23" t="n">
        <v>0.2</v>
      </c>
      <c r="E36" s="12" t="s">
        <v>32</v>
      </c>
      <c r="F36" s="18" t="s">
        <v>291</v>
      </c>
      <c r="G36" s="18" t="s">
        <v>292</v>
      </c>
    </row>
    <row r="37" customFormat="false" ht="15" hidden="false" customHeight="false" outlineLevel="0" collapsed="false">
      <c r="A37" s="15" t="s">
        <v>293</v>
      </c>
      <c r="B37" s="15" t="s">
        <v>294</v>
      </c>
      <c r="C37" s="15" t="s">
        <v>118</v>
      </c>
      <c r="D37" s="23" t="n">
        <v>0.25</v>
      </c>
      <c r="E37" s="12" t="s">
        <v>32</v>
      </c>
      <c r="F37" s="18" t="s">
        <v>295</v>
      </c>
      <c r="G37" s="18" t="s">
        <v>296</v>
      </c>
    </row>
    <row r="38" customFormat="false" ht="15" hidden="false" customHeight="false" outlineLevel="0" collapsed="false">
      <c r="A38" s="15" t="s">
        <v>297</v>
      </c>
      <c r="B38" s="15" t="s">
        <v>298</v>
      </c>
      <c r="C38" s="15" t="s">
        <v>118</v>
      </c>
      <c r="D38" s="23" t="n">
        <v>0.1</v>
      </c>
      <c r="E38" s="12" t="s">
        <v>32</v>
      </c>
      <c r="F38" s="18" t="s">
        <v>299</v>
      </c>
      <c r="G38" s="18" t="s">
        <v>300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0"/>
    <col collapsed="false" customWidth="true" hidden="false" outlineLevel="0" max="3" min="3" style="0" width="22"/>
    <col collapsed="false" customWidth="true" hidden="false" outlineLevel="0" max="20" min="4" style="0" width="13"/>
    <col collapsed="false" customWidth="true" hidden="false" outlineLevel="0" max="21" min="21" style="0" width="60"/>
    <col collapsed="false" customWidth="true" hidden="false" outlineLevel="0" max="24" min="22" style="0" width="13"/>
  </cols>
  <sheetData>
    <row r="1" customFormat="false" ht="17.35" hidden="false" customHeight="false" outlineLevel="0" collapsed="false">
      <c r="A1" s="1" t="s">
        <v>301</v>
      </c>
    </row>
    <row r="2" customFormat="false" ht="15" hidden="false" customHeight="false" outlineLevel="0" collapsed="false">
      <c r="A2" s="2" t="s">
        <v>302</v>
      </c>
    </row>
    <row r="4" customFormat="false" ht="31.5" hidden="false" customHeight="true" outlineLevel="0" collapsed="false">
      <c r="A4" s="5" t="s">
        <v>69</v>
      </c>
      <c r="B4" s="5" t="s">
        <v>303</v>
      </c>
      <c r="C4" s="5" t="s">
        <v>304</v>
      </c>
      <c r="D4" s="5" t="s">
        <v>305</v>
      </c>
      <c r="E4" s="5" t="s">
        <v>306</v>
      </c>
      <c r="F4" s="5" t="s">
        <v>307</v>
      </c>
      <c r="G4" s="5" t="s">
        <v>308</v>
      </c>
      <c r="H4" s="5" t="s">
        <v>309</v>
      </c>
      <c r="I4" s="5" t="s">
        <v>310</v>
      </c>
      <c r="J4" s="5" t="s">
        <v>311</v>
      </c>
      <c r="K4" s="5" t="s">
        <v>312</v>
      </c>
      <c r="L4" s="5" t="s">
        <v>313</v>
      </c>
      <c r="M4" s="5" t="s">
        <v>314</v>
      </c>
      <c r="N4" s="5" t="s">
        <v>315</v>
      </c>
      <c r="O4" s="5" t="s">
        <v>316</v>
      </c>
      <c r="P4" s="5" t="s">
        <v>317</v>
      </c>
      <c r="Q4" s="5" t="s">
        <v>318</v>
      </c>
      <c r="R4" s="5" t="s">
        <v>319</v>
      </c>
      <c r="S4" s="5" t="s">
        <v>320</v>
      </c>
      <c r="T4" s="5" t="s">
        <v>321</v>
      </c>
      <c r="U4" s="5" t="s">
        <v>322</v>
      </c>
      <c r="V4" s="5" t="s">
        <v>323</v>
      </c>
      <c r="W4" s="5" t="s">
        <v>324</v>
      </c>
      <c r="X4" s="5" t="s">
        <v>325</v>
      </c>
    </row>
    <row r="5" customFormat="false" ht="22.35" hidden="false" customHeight="false" outlineLevel="0" collapsed="false">
      <c r="A5" s="9" t="s">
        <v>26</v>
      </c>
      <c r="B5" s="9" t="s">
        <v>26</v>
      </c>
      <c r="C5" s="9" t="s">
        <v>26</v>
      </c>
      <c r="D5" s="9" t="s">
        <v>26</v>
      </c>
      <c r="E5" s="9" t="s">
        <v>26</v>
      </c>
      <c r="F5" s="9" t="s">
        <v>26</v>
      </c>
      <c r="G5" s="9" t="s">
        <v>28</v>
      </c>
      <c r="H5" s="9" t="s">
        <v>28</v>
      </c>
      <c r="I5" s="9" t="s">
        <v>28</v>
      </c>
      <c r="J5" s="9" t="s">
        <v>28</v>
      </c>
      <c r="K5" s="9" t="s">
        <v>28</v>
      </c>
      <c r="L5" s="9" t="s">
        <v>28</v>
      </c>
      <c r="M5" s="9" t="s">
        <v>28</v>
      </c>
      <c r="N5" s="9" t="s">
        <v>28</v>
      </c>
      <c r="O5" s="12" t="s">
        <v>32</v>
      </c>
      <c r="P5" s="12" t="s">
        <v>32</v>
      </c>
      <c r="Q5" s="12" t="s">
        <v>32</v>
      </c>
      <c r="R5" s="12" t="s">
        <v>32</v>
      </c>
      <c r="S5" s="9" t="s">
        <v>28</v>
      </c>
      <c r="T5" s="9" t="s">
        <v>26</v>
      </c>
      <c r="U5" s="9" t="s">
        <v>28</v>
      </c>
      <c r="V5" s="9" t="s">
        <v>28</v>
      </c>
      <c r="W5" s="12" t="s">
        <v>32</v>
      </c>
      <c r="X5" s="12" t="s">
        <v>32</v>
      </c>
    </row>
    <row r="6" customFormat="false" ht="79.85" hidden="false" customHeight="false" outlineLevel="0" collapsed="false">
      <c r="A6" s="15" t="s">
        <v>9</v>
      </c>
      <c r="B6" s="15" t="s">
        <v>326</v>
      </c>
      <c r="C6" s="15" t="s">
        <v>327</v>
      </c>
      <c r="D6" s="26" t="s">
        <v>328</v>
      </c>
      <c r="E6" s="26" t="n">
        <v>8</v>
      </c>
      <c r="F6" s="27" t="n">
        <v>4300000</v>
      </c>
      <c r="G6" s="28" t="n">
        <v>1500</v>
      </c>
      <c r="H6" s="28" t="n">
        <v>1.5</v>
      </c>
      <c r="I6" s="28" t="n">
        <v>10</v>
      </c>
      <c r="J6" s="28" t="n">
        <v>90</v>
      </c>
      <c r="K6" s="28" t="n">
        <v>1975</v>
      </c>
      <c r="L6" s="28" t="n">
        <v>1000</v>
      </c>
      <c r="M6" s="28" t="n">
        <v>2050</v>
      </c>
      <c r="N6" s="28" t="n">
        <v>5</v>
      </c>
      <c r="O6" s="28" t="n">
        <v>3</v>
      </c>
      <c r="P6" s="28" t="n">
        <v>60</v>
      </c>
      <c r="Q6" s="28" t="n">
        <v>60</v>
      </c>
      <c r="R6" s="28" t="n">
        <v>0.8</v>
      </c>
      <c r="S6" s="26" t="n">
        <v>0</v>
      </c>
      <c r="T6" s="15" t="s">
        <v>329</v>
      </c>
      <c r="U6" s="15" t="s">
        <v>330</v>
      </c>
      <c r="V6" s="26" t="n">
        <v>1</v>
      </c>
      <c r="W6" s="26" t="s">
        <v>331</v>
      </c>
      <c r="X6" s="15" t="s">
        <v>332</v>
      </c>
    </row>
    <row r="7" customFormat="false" ht="91" hidden="false" customHeight="false" outlineLevel="0" collapsed="false">
      <c r="A7" s="15" t="s">
        <v>10</v>
      </c>
      <c r="B7" s="15" t="s">
        <v>333</v>
      </c>
      <c r="C7" s="15" t="s">
        <v>334</v>
      </c>
      <c r="D7" s="26" t="s">
        <v>335</v>
      </c>
      <c r="E7" s="26" t="n">
        <v>8</v>
      </c>
      <c r="F7" s="27" t="n">
        <v>2700000</v>
      </c>
      <c r="G7" s="26" t="n">
        <v>1500</v>
      </c>
      <c r="H7" s="26" t="n">
        <v>1.5</v>
      </c>
      <c r="I7" s="26" t="n">
        <v>6</v>
      </c>
      <c r="J7" s="26" t="n">
        <v>18</v>
      </c>
      <c r="K7" s="26" t="n">
        <v>1044</v>
      </c>
      <c r="L7" s="26" t="n">
        <v>654</v>
      </c>
      <c r="M7" s="26" t="n">
        <v>380</v>
      </c>
      <c r="N7" s="26" t="n">
        <v>5</v>
      </c>
      <c r="O7" s="28" t="n">
        <v>1</v>
      </c>
      <c r="P7" s="28" t="n">
        <v>30</v>
      </c>
      <c r="Q7" s="28" t="n">
        <v>30</v>
      </c>
      <c r="R7" s="28" t="n">
        <v>0.6</v>
      </c>
      <c r="S7" s="26" t="n">
        <v>0</v>
      </c>
      <c r="T7" s="15" t="s">
        <v>329</v>
      </c>
      <c r="U7" s="15" t="s">
        <v>336</v>
      </c>
      <c r="V7" s="26" t="n">
        <v>1</v>
      </c>
      <c r="W7" s="26" t="s">
        <v>337</v>
      </c>
      <c r="X7" s="15" t="s">
        <v>338</v>
      </c>
    </row>
    <row r="8" customFormat="false" ht="68.65" hidden="false" customHeight="false" outlineLevel="0" collapsed="false">
      <c r="A8" s="15" t="s">
        <v>17</v>
      </c>
      <c r="B8" s="15" t="s">
        <v>339</v>
      </c>
      <c r="C8" s="15" t="s">
        <v>334</v>
      </c>
      <c r="D8" s="26" t="s">
        <v>328</v>
      </c>
      <c r="E8" s="26" t="n">
        <v>7</v>
      </c>
      <c r="F8" s="27" t="n">
        <v>2400000</v>
      </c>
      <c r="G8" s="28" t="n">
        <v>1200</v>
      </c>
      <c r="H8" s="28" t="n">
        <v>1.5</v>
      </c>
      <c r="I8" s="28" t="n">
        <v>6</v>
      </c>
      <c r="J8" s="28" t="n">
        <v>18</v>
      </c>
      <c r="K8" s="28" t="n">
        <v>1044</v>
      </c>
      <c r="L8" s="28" t="n">
        <v>654</v>
      </c>
      <c r="M8" s="28" t="n">
        <v>380</v>
      </c>
      <c r="N8" s="28" t="n">
        <v>5</v>
      </c>
      <c r="O8" s="28" t="n">
        <v>1</v>
      </c>
      <c r="P8" s="28" t="n">
        <v>45</v>
      </c>
      <c r="Q8" s="28" t="n">
        <v>45</v>
      </c>
      <c r="R8" s="28" t="n">
        <v>0.8</v>
      </c>
      <c r="S8" s="26" t="n">
        <v>0</v>
      </c>
      <c r="T8" s="15" t="s">
        <v>329</v>
      </c>
      <c r="U8" s="15" t="s">
        <v>336</v>
      </c>
      <c r="V8" s="26" t="n">
        <v>1</v>
      </c>
      <c r="W8" s="26" t="s">
        <v>331</v>
      </c>
      <c r="X8" s="15" t="s">
        <v>340</v>
      </c>
    </row>
    <row r="9" customFormat="false" ht="79.85" hidden="false" customHeight="false" outlineLevel="0" collapsed="false">
      <c r="A9" s="15" t="s">
        <v>18</v>
      </c>
      <c r="B9" s="15" t="s">
        <v>341</v>
      </c>
      <c r="C9" s="15" t="s">
        <v>342</v>
      </c>
      <c r="D9" s="26" t="s">
        <v>335</v>
      </c>
      <c r="E9" s="26" t="n">
        <v>9</v>
      </c>
      <c r="F9" s="27" t="n">
        <v>1800000</v>
      </c>
      <c r="G9" s="28" t="n">
        <v>800</v>
      </c>
      <c r="H9" s="28" t="n">
        <v>1.5</v>
      </c>
      <c r="I9" s="28" t="n">
        <v>20</v>
      </c>
      <c r="J9" s="28" t="n">
        <v>60</v>
      </c>
      <c r="K9" s="28" t="n">
        <v>1100</v>
      </c>
      <c r="L9" s="28" t="n">
        <v>600</v>
      </c>
      <c r="M9" s="28" t="n">
        <v>230</v>
      </c>
      <c r="N9" s="28" t="n">
        <v>5</v>
      </c>
      <c r="O9" s="28" t="n">
        <v>1</v>
      </c>
      <c r="P9" s="28" t="n">
        <v>45</v>
      </c>
      <c r="Q9" s="28" t="n">
        <v>45</v>
      </c>
      <c r="R9" s="28" t="n">
        <v>0.8</v>
      </c>
      <c r="S9" s="26" t="n">
        <v>0</v>
      </c>
      <c r="T9" s="15" t="s">
        <v>329</v>
      </c>
      <c r="U9" s="15" t="s">
        <v>336</v>
      </c>
      <c r="V9" s="26" t="n">
        <v>1</v>
      </c>
      <c r="W9" s="26" t="s">
        <v>331</v>
      </c>
      <c r="X9" s="15" t="s">
        <v>343</v>
      </c>
    </row>
    <row r="10" customFormat="false" ht="91" hidden="false" customHeight="false" outlineLevel="0" collapsed="false">
      <c r="A10" s="15" t="s">
        <v>344</v>
      </c>
      <c r="B10" s="15" t="s">
        <v>345</v>
      </c>
      <c r="C10" s="15" t="s">
        <v>334</v>
      </c>
      <c r="D10" s="26" t="s">
        <v>328</v>
      </c>
      <c r="E10" s="26" t="n">
        <v>8</v>
      </c>
      <c r="F10" s="27" t="n">
        <v>1400000</v>
      </c>
      <c r="G10" s="26" t="n">
        <v>10</v>
      </c>
      <c r="H10" s="26" t="n">
        <v>2.5</v>
      </c>
      <c r="I10" s="26" t="n">
        <v>10</v>
      </c>
      <c r="J10" s="26" t="n">
        <v>60</v>
      </c>
      <c r="K10" s="26" t="n">
        <v>420</v>
      </c>
      <c r="L10" s="26" t="n">
        <v>400</v>
      </c>
      <c r="M10" s="26" t="n">
        <v>200</v>
      </c>
      <c r="N10" s="26" t="n">
        <v>5</v>
      </c>
      <c r="O10" s="28" t="n">
        <v>0.3</v>
      </c>
      <c r="P10" s="28" t="n">
        <v>20</v>
      </c>
      <c r="Q10" s="28" t="n">
        <v>20</v>
      </c>
      <c r="R10" s="28" t="n">
        <v>0.5</v>
      </c>
      <c r="S10" s="26" t="n">
        <v>0</v>
      </c>
      <c r="T10" s="15" t="s">
        <v>329</v>
      </c>
      <c r="U10" s="15" t="s">
        <v>346</v>
      </c>
      <c r="V10" s="26" t="n">
        <v>1</v>
      </c>
      <c r="W10" s="26" t="s">
        <v>337</v>
      </c>
      <c r="X10" s="15" t="s">
        <v>347</v>
      </c>
    </row>
    <row r="11" customFormat="false" ht="91" hidden="false" customHeight="false" outlineLevel="0" collapsed="false">
      <c r="A11" s="15" t="s">
        <v>13</v>
      </c>
      <c r="B11" s="15" t="s">
        <v>348</v>
      </c>
      <c r="C11" s="15" t="s">
        <v>349</v>
      </c>
      <c r="D11" s="26" t="s">
        <v>335</v>
      </c>
      <c r="E11" s="26" t="n">
        <v>8</v>
      </c>
      <c r="F11" s="27" t="n">
        <v>4000000</v>
      </c>
      <c r="G11" s="26" t="n">
        <v>3000</v>
      </c>
      <c r="H11" s="26" t="n">
        <v>4.17</v>
      </c>
      <c r="I11" s="26" t="n">
        <v>24</v>
      </c>
      <c r="J11" s="26" t="n">
        <v>30</v>
      </c>
      <c r="K11" s="26" t="n">
        <v>2300</v>
      </c>
      <c r="L11" s="26" t="n">
        <v>1400</v>
      </c>
      <c r="M11" s="26" t="n">
        <v>1500</v>
      </c>
      <c r="N11" s="26" t="n">
        <v>-40</v>
      </c>
      <c r="O11" s="28" t="n">
        <v>6</v>
      </c>
      <c r="P11" s="28" t="n">
        <v>180</v>
      </c>
      <c r="Q11" s="28" t="n">
        <v>180</v>
      </c>
      <c r="R11" s="28" t="n">
        <v>0.8</v>
      </c>
      <c r="S11" s="26" t="n">
        <v>1</v>
      </c>
      <c r="T11" s="15" t="s">
        <v>329</v>
      </c>
      <c r="U11" s="15" t="s">
        <v>350</v>
      </c>
      <c r="V11" s="26" t="n">
        <v>0</v>
      </c>
      <c r="W11" s="26" t="s">
        <v>337</v>
      </c>
      <c r="X11" s="15" t="s">
        <v>351</v>
      </c>
    </row>
    <row r="12" customFormat="false" ht="68.65" hidden="false" customHeight="false" outlineLevel="0" collapsed="false">
      <c r="A12" s="15" t="s">
        <v>14</v>
      </c>
      <c r="B12" s="15" t="s">
        <v>352</v>
      </c>
      <c r="C12" s="15" t="s">
        <v>353</v>
      </c>
      <c r="D12" s="26" t="s">
        <v>335</v>
      </c>
      <c r="E12" s="26" t="n">
        <v>9</v>
      </c>
      <c r="F12" s="27" t="n">
        <v>6000000</v>
      </c>
      <c r="G12" s="26" t="n">
        <v>2000</v>
      </c>
      <c r="H12" s="26" t="n">
        <v>5.56</v>
      </c>
      <c r="I12" s="26" t="n">
        <v>8</v>
      </c>
      <c r="J12" s="26" t="n">
        <v>30</v>
      </c>
      <c r="K12" s="26" t="n">
        <v>5000</v>
      </c>
      <c r="L12" s="26" t="n">
        <v>1800</v>
      </c>
      <c r="M12" s="26" t="n">
        <v>2200</v>
      </c>
      <c r="N12" s="26" t="n">
        <v>-40</v>
      </c>
      <c r="O12" s="28" t="n">
        <v>6</v>
      </c>
      <c r="P12" s="28" t="n">
        <v>240</v>
      </c>
      <c r="Q12" s="28" t="n">
        <v>240</v>
      </c>
      <c r="R12" s="28" t="n">
        <v>0.8</v>
      </c>
      <c r="S12" s="26" t="n">
        <v>1</v>
      </c>
      <c r="T12" s="15" t="s">
        <v>329</v>
      </c>
      <c r="U12" s="15" t="s">
        <v>346</v>
      </c>
      <c r="V12" s="26" t="n">
        <v>0</v>
      </c>
      <c r="W12" s="26" t="s">
        <v>337</v>
      </c>
      <c r="X12" s="15" t="s">
        <v>354</v>
      </c>
    </row>
    <row r="13" customFormat="false" ht="79.85" hidden="false" customHeight="false" outlineLevel="0" collapsed="false">
      <c r="A13" s="15" t="s">
        <v>355</v>
      </c>
      <c r="B13" s="15" t="s">
        <v>356</v>
      </c>
      <c r="C13" s="15" t="s">
        <v>357</v>
      </c>
      <c r="D13" s="26" t="s">
        <v>335</v>
      </c>
      <c r="E13" s="26" t="n">
        <v>9</v>
      </c>
      <c r="F13" s="27" t="n">
        <v>1900000</v>
      </c>
      <c r="G13" s="26" t="n">
        <v>0</v>
      </c>
      <c r="H13" s="26" t="n">
        <v>1</v>
      </c>
      <c r="I13" s="26" t="n">
        <v>3</v>
      </c>
      <c r="J13" s="26" t="n">
        <v>120</v>
      </c>
      <c r="K13" s="26" t="n">
        <v>860</v>
      </c>
      <c r="L13" s="26" t="n">
        <v>610</v>
      </c>
      <c r="M13" s="26" t="n">
        <v>980</v>
      </c>
      <c r="N13" s="26" t="n">
        <v>5</v>
      </c>
      <c r="O13" s="28" t="n">
        <v>1</v>
      </c>
      <c r="P13" s="28" t="n">
        <v>0</v>
      </c>
      <c r="Q13" s="28" t="n">
        <v>0</v>
      </c>
      <c r="R13" s="28" t="n">
        <v>0.7</v>
      </c>
      <c r="S13" s="26" t="n">
        <v>0</v>
      </c>
      <c r="T13" s="15" t="s">
        <v>358</v>
      </c>
      <c r="U13" s="15" t="s">
        <v>359</v>
      </c>
      <c r="V13" s="26" t="n">
        <v>1</v>
      </c>
      <c r="W13" s="26" t="s">
        <v>337</v>
      </c>
      <c r="X13" s="15" t="s">
        <v>360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58"/>
    <col collapsed="false" customWidth="true" hidden="false" outlineLevel="0" max="3" min="3" style="0" width="11"/>
    <col collapsed="false" customWidth="true" hidden="false" outlineLevel="0" max="4" min="4" style="0" width="24"/>
    <col collapsed="false" customWidth="true" hidden="false" outlineLevel="0" max="5" min="5" style="0" width="30"/>
    <col collapsed="false" customWidth="true" hidden="false" outlineLevel="0" max="8" min="6" style="0" width="19"/>
    <col collapsed="false" customWidth="true" hidden="false" outlineLevel="0" max="9" min="9" style="0" width="60"/>
    <col collapsed="false" customWidth="true" hidden="false" outlineLevel="0" max="10" min="10" style="0" width="19"/>
  </cols>
  <sheetData>
    <row r="1" customFormat="false" ht="17.35" hidden="false" customHeight="false" outlineLevel="0" collapsed="false">
      <c r="A1" s="1" t="s">
        <v>361</v>
      </c>
    </row>
    <row r="2" customFormat="false" ht="15" hidden="false" customHeight="false" outlineLevel="0" collapsed="false">
      <c r="A2" s="2" t="s">
        <v>362</v>
      </c>
    </row>
    <row r="4" customFormat="false" ht="31.5" hidden="false" customHeight="true" outlineLevel="0" collapsed="false">
      <c r="A4" s="5" t="s">
        <v>69</v>
      </c>
      <c r="B4" s="5" t="s">
        <v>70</v>
      </c>
      <c r="C4" s="5" t="s">
        <v>71</v>
      </c>
      <c r="D4" s="5" t="s">
        <v>3</v>
      </c>
      <c r="E4" s="5" t="s">
        <v>12</v>
      </c>
      <c r="F4" s="5" t="s">
        <v>16</v>
      </c>
      <c r="G4" s="5" t="s">
        <v>363</v>
      </c>
      <c r="H4" s="5" t="s">
        <v>73</v>
      </c>
      <c r="I4" s="5" t="s">
        <v>364</v>
      </c>
    </row>
    <row r="5" customFormat="false" ht="22.35" hidden="false" customHeight="false" outlineLevel="0" collapsed="false">
      <c r="A5" s="15" t="s">
        <v>365</v>
      </c>
      <c r="B5" s="15" t="s">
        <v>366</v>
      </c>
      <c r="C5" s="15" t="s">
        <v>102</v>
      </c>
      <c r="D5" s="29" t="n">
        <f aca="false">1_Сырые_данные!D12*1_Сырые_данные!D13</f>
        <v>22</v>
      </c>
      <c r="E5" s="30" t="n">
        <v>24</v>
      </c>
      <c r="F5" s="30" t="n">
        <v>16</v>
      </c>
      <c r="G5" s="31" t="n">
        <f aca="false">INDEX(D5:F5,MATCH(SEL_OBJ,$D$4:$F$4,0))</f>
        <v>22</v>
      </c>
      <c r="H5" s="13" t="s">
        <v>367</v>
      </c>
      <c r="I5" s="18" t="s">
        <v>368</v>
      </c>
    </row>
    <row r="6" customFormat="false" ht="22.35" hidden="false" customHeight="false" outlineLevel="0" collapsed="false">
      <c r="A6" s="15" t="s">
        <v>96</v>
      </c>
      <c r="B6" s="15" t="s">
        <v>369</v>
      </c>
      <c r="C6" s="15" t="s">
        <v>98</v>
      </c>
      <c r="D6" s="32" t="n">
        <f aca="false">1_Сырые_данные!D12</f>
        <v>2</v>
      </c>
      <c r="E6" s="16" t="n">
        <v>3</v>
      </c>
      <c r="F6" s="32" t="n">
        <f aca="false">1_Сырые_данные!F12</f>
        <v>3</v>
      </c>
      <c r="G6" s="17" t="n">
        <f aca="false">INDEX(D6:F6,MATCH(SEL_OBJ,$D$4:$F$4,0))</f>
        <v>2</v>
      </c>
      <c r="H6" s="13" t="s">
        <v>367</v>
      </c>
      <c r="I6" s="18" t="s">
        <v>370</v>
      </c>
    </row>
    <row r="7" customFormat="false" ht="22.35" hidden="false" customHeight="false" outlineLevel="0" collapsed="false">
      <c r="A7" s="15" t="s">
        <v>371</v>
      </c>
      <c r="B7" s="15" t="s">
        <v>372</v>
      </c>
      <c r="C7" s="15" t="s">
        <v>373</v>
      </c>
      <c r="D7" s="29" t="n">
        <f aca="false">1_Сырые_данные!D15+1_Сырые_данные!D16</f>
        <v>2000</v>
      </c>
      <c r="E7" s="29" t="n">
        <f aca="false">1_Сырые_данные!E19*2</f>
        <v>560</v>
      </c>
      <c r="F7" s="29" t="n">
        <f aca="false">1_Сырые_данные!F24*1_Сырые_данные!F25*2+1_Сырые_данные!F28*1_Сырые_данные!F29*2+1_Сырые_данные!F32*1_Сырые_данные!F33*2+1_Сырые_данные!F31</f>
        <v>279.8</v>
      </c>
      <c r="G7" s="31" t="n">
        <f aca="false">INDEX(D7:F7,MATCH(SEL_OBJ,$D$4:$F$4,0))</f>
        <v>2000</v>
      </c>
      <c r="H7" s="13" t="s">
        <v>367</v>
      </c>
      <c r="I7" s="18" t="s">
        <v>374</v>
      </c>
    </row>
    <row r="8" customFormat="false" ht="22.35" hidden="false" customHeight="false" outlineLevel="0" collapsed="false">
      <c r="A8" s="15" t="s">
        <v>104</v>
      </c>
      <c r="B8" s="15" t="s">
        <v>375</v>
      </c>
      <c r="C8" s="15" t="s">
        <v>106</v>
      </c>
      <c r="D8" s="33" t="n">
        <f aca="false">1_Сырые_данные!D14</f>
        <v>1.5</v>
      </c>
      <c r="E8" s="24" t="n">
        <v>1</v>
      </c>
      <c r="F8" s="24" t="n">
        <v>1.8</v>
      </c>
      <c r="G8" s="20" t="n">
        <f aca="false">INDEX(D8:F8,MATCH(SEL_OBJ,$D$4:$F$4,0))</f>
        <v>1.5</v>
      </c>
      <c r="H8" s="12" t="s">
        <v>32</v>
      </c>
      <c r="I8" s="18" t="s">
        <v>376</v>
      </c>
    </row>
    <row r="9" customFormat="false" ht="22.35" hidden="false" customHeight="false" outlineLevel="0" collapsed="false">
      <c r="A9" s="15" t="s">
        <v>377</v>
      </c>
      <c r="B9" s="15" t="s">
        <v>378</v>
      </c>
      <c r="C9" s="15" t="s">
        <v>379</v>
      </c>
      <c r="D9" s="34" t="n">
        <f aca="false">D7/D5*D8</f>
        <v>136.363636363636</v>
      </c>
      <c r="E9" s="34" t="n">
        <f aca="false">1_Сырые_данные!E20*2</f>
        <v>64</v>
      </c>
      <c r="F9" s="34" t="n">
        <f aca="false">F7/F5*F8</f>
        <v>31.4775</v>
      </c>
      <c r="G9" s="20" t="n">
        <f aca="false">INDEX(D9:F9,MATCH(SEL_OBJ,$D$4:$F$4,0))</f>
        <v>136.363636363636</v>
      </c>
      <c r="H9" s="13" t="s">
        <v>380</v>
      </c>
      <c r="I9" s="18" t="s">
        <v>381</v>
      </c>
    </row>
    <row r="10" customFormat="false" ht="22.35" hidden="false" customHeight="false" outlineLevel="0" collapsed="false">
      <c r="A10" s="15" t="s">
        <v>382</v>
      </c>
      <c r="B10" s="15" t="s">
        <v>383</v>
      </c>
      <c r="C10" s="15" t="s">
        <v>118</v>
      </c>
      <c r="D10" s="35" t="n">
        <f aca="false">1-1_Сырые_данные!D18</f>
        <v>0.95</v>
      </c>
      <c r="E10" s="23" t="n">
        <v>0.9</v>
      </c>
      <c r="F10" s="23" t="n">
        <v>0.9</v>
      </c>
      <c r="G10" s="22" t="n">
        <f aca="false">INDEX(D10:F10,MATCH(SEL_OBJ,$D$4:$F$4,0))</f>
        <v>0.95</v>
      </c>
      <c r="H10" s="12" t="s">
        <v>32</v>
      </c>
      <c r="I10" s="18" t="s">
        <v>384</v>
      </c>
    </row>
    <row r="11" customFormat="false" ht="22.35" hidden="false" customHeight="false" outlineLevel="0" collapsed="false">
      <c r="A11" s="15" t="s">
        <v>385</v>
      </c>
      <c r="B11" s="15" t="s">
        <v>386</v>
      </c>
      <c r="C11" s="15" t="s">
        <v>115</v>
      </c>
      <c r="D11" s="32" t="n">
        <f aca="false">1_Сырые_данные!D17</f>
        <v>800</v>
      </c>
      <c r="E11" s="32" t="n">
        <f aca="false">1_Сырые_данные!E21/1_Сырые_данные!E19*1_Сырые_данные!E22</f>
        <v>2250</v>
      </c>
      <c r="F11" s="32" t="n">
        <f aca="false">MAX(1_Сырые_данные!F27,1_Сырые_данные!F30)</f>
        <v>120</v>
      </c>
      <c r="G11" s="17" t="n">
        <f aca="false">INDEX(D11:F11,MATCH(SEL_OBJ,$D$4:$F$4,0))</f>
        <v>800</v>
      </c>
      <c r="H11" s="13" t="s">
        <v>367</v>
      </c>
      <c r="I11" s="18" t="s">
        <v>387</v>
      </c>
    </row>
    <row r="12" customFormat="false" ht="22.35" hidden="false" customHeight="false" outlineLevel="0" collapsed="false">
      <c r="A12" s="15" t="s">
        <v>388</v>
      </c>
      <c r="B12" s="15" t="s">
        <v>389</v>
      </c>
      <c r="C12" s="15" t="s">
        <v>390</v>
      </c>
      <c r="D12" s="25" t="n">
        <v>0</v>
      </c>
      <c r="E12" s="25" t="n">
        <v>1</v>
      </c>
      <c r="F12" s="25" t="n">
        <v>0</v>
      </c>
      <c r="G12" s="17" t="n">
        <f aca="false">INDEX(D12:F12,MATCH(SEL_OBJ,$D$4:$F$4,0))</f>
        <v>0</v>
      </c>
      <c r="H12" s="12" t="s">
        <v>32</v>
      </c>
      <c r="I12" s="18" t="s">
        <v>391</v>
      </c>
    </row>
    <row r="13" customFormat="false" ht="22.35" hidden="false" customHeight="false" outlineLevel="0" collapsed="false">
      <c r="A13" s="15" t="s">
        <v>392</v>
      </c>
      <c r="B13" s="15" t="s">
        <v>393</v>
      </c>
      <c r="C13" s="15" t="s">
        <v>84</v>
      </c>
      <c r="D13" s="36" t="n">
        <f aca="false">SQRT(1_Сырые_данные!D6)</f>
        <v>100</v>
      </c>
      <c r="E13" s="36" t="n">
        <f aca="false">2*SQRT(1_Сырые_данные!E6)</f>
        <v>632.455532033676</v>
      </c>
      <c r="F13" s="36" t="n">
        <f aca="false">1_Сырые_данные!F26</f>
        <v>180</v>
      </c>
      <c r="G13" s="17" t="n">
        <f aca="false">INDEX(D13:F13,MATCH(SEL_OBJ,$D$4:$F$4,0))</f>
        <v>100</v>
      </c>
      <c r="H13" s="12" t="s">
        <v>32</v>
      </c>
      <c r="I13" s="18" t="s">
        <v>394</v>
      </c>
    </row>
    <row r="14" customFormat="false" ht="22.35" hidden="false" customHeight="false" outlineLevel="0" collapsed="false">
      <c r="A14" s="15" t="s">
        <v>395</v>
      </c>
      <c r="B14" s="15" t="s">
        <v>396</v>
      </c>
      <c r="C14" s="15" t="s">
        <v>397</v>
      </c>
      <c r="D14" s="24" t="n">
        <v>1.5</v>
      </c>
      <c r="E14" s="24" t="n">
        <v>4.17</v>
      </c>
      <c r="F14" s="24" t="n">
        <v>1</v>
      </c>
      <c r="G14" s="20" t="n">
        <f aca="false">INDEX(D14:F14,MATCH(SEL_OBJ,$D$4:$F$4,0))</f>
        <v>1.5</v>
      </c>
      <c r="H14" s="12" t="s">
        <v>32</v>
      </c>
      <c r="I14" s="18" t="s">
        <v>398</v>
      </c>
    </row>
    <row r="15" customFormat="false" ht="22.35" hidden="false" customHeight="false" outlineLevel="0" collapsed="false">
      <c r="A15" s="15" t="s">
        <v>399</v>
      </c>
      <c r="B15" s="15" t="s">
        <v>400</v>
      </c>
      <c r="C15" s="15" t="s">
        <v>118</v>
      </c>
      <c r="D15" s="23" t="n">
        <v>0</v>
      </c>
      <c r="E15" s="23" t="n">
        <v>0</v>
      </c>
      <c r="F15" s="23" t="n">
        <v>0.8</v>
      </c>
      <c r="G15" s="22" t="n">
        <f aca="false">INDEX(D15:F15,MATCH(SEL_OBJ,$D$4:$F$4,0))</f>
        <v>0</v>
      </c>
      <c r="H15" s="12" t="s">
        <v>32</v>
      </c>
      <c r="I15" s="18" t="s">
        <v>401</v>
      </c>
    </row>
    <row r="16" customFormat="false" ht="22.35" hidden="false" customHeight="false" outlineLevel="0" collapsed="false">
      <c r="A16" s="15" t="s">
        <v>402</v>
      </c>
      <c r="B16" s="15" t="s">
        <v>403</v>
      </c>
      <c r="C16" s="15" t="s">
        <v>404</v>
      </c>
      <c r="D16" s="25" t="n">
        <v>0</v>
      </c>
      <c r="E16" s="25" t="n">
        <v>0</v>
      </c>
      <c r="F16" s="25" t="n">
        <v>180</v>
      </c>
      <c r="G16" s="17" t="n">
        <f aca="false">INDEX(D16:F16,MATCH(SEL_OBJ,$D$4:$F$4,0))</f>
        <v>0</v>
      </c>
      <c r="H16" s="12" t="s">
        <v>32</v>
      </c>
      <c r="I16" s="18" t="s">
        <v>405</v>
      </c>
    </row>
    <row r="17" customFormat="false" ht="22.35" hidden="false" customHeight="false" outlineLevel="0" collapsed="false">
      <c r="A17" s="15" t="s">
        <v>406</v>
      </c>
      <c r="B17" s="15" t="s">
        <v>407</v>
      </c>
      <c r="C17" s="15" t="s">
        <v>84</v>
      </c>
      <c r="D17" s="34" t="n">
        <f aca="false">MIN(1_Сырые_данные!D7,1_Сырые_данные!D8)</f>
        <v>2.8</v>
      </c>
      <c r="E17" s="19" t="n">
        <v>4</v>
      </c>
      <c r="F17" s="34" t="n">
        <f aca="false">1_Сырые_данные!F9</f>
        <v>2.4</v>
      </c>
      <c r="G17" s="20" t="n">
        <f aca="false">INDEX(D17:F17,MATCH(SEL_OBJ,$D$4:$F$4,0))</f>
        <v>2.8</v>
      </c>
      <c r="H17" s="13" t="s">
        <v>367</v>
      </c>
      <c r="I17" s="18" t="s">
        <v>408</v>
      </c>
    </row>
    <row r="18" customFormat="false" ht="22.35" hidden="false" customHeight="false" outlineLevel="0" collapsed="false">
      <c r="A18" s="15" t="s">
        <v>409</v>
      </c>
      <c r="B18" s="15" t="s">
        <v>410</v>
      </c>
      <c r="C18" s="15" t="s">
        <v>84</v>
      </c>
      <c r="D18" s="24" t="n">
        <v>0.6</v>
      </c>
      <c r="E18" s="24" t="n">
        <v>0.6</v>
      </c>
      <c r="F18" s="24" t="n">
        <v>0.9</v>
      </c>
      <c r="G18" s="20" t="n">
        <f aca="false">INDEX(D18:F18,MATCH(SEL_OBJ,$D$4:$F$4,0))</f>
        <v>0.6</v>
      </c>
      <c r="H18" s="12" t="s">
        <v>32</v>
      </c>
      <c r="I18" s="18" t="s">
        <v>411</v>
      </c>
    </row>
    <row r="19" customFormat="false" ht="15" hidden="false" customHeight="false" outlineLevel="0" collapsed="false">
      <c r="A19" s="15" t="s">
        <v>412</v>
      </c>
      <c r="B19" s="15" t="s">
        <v>413</v>
      </c>
      <c r="C19" s="15" t="s">
        <v>390</v>
      </c>
      <c r="D19" s="16" t="n">
        <v>0</v>
      </c>
      <c r="E19" s="16" t="n">
        <v>1</v>
      </c>
      <c r="F19" s="16" t="n">
        <v>0</v>
      </c>
      <c r="G19" s="17" t="n">
        <f aca="false">INDEX(D19:F19,MATCH(SEL_OBJ,$D$4:$F$4,0))</f>
        <v>0</v>
      </c>
      <c r="H19" s="9" t="s">
        <v>24</v>
      </c>
      <c r="I19" s="18" t="s">
        <v>414</v>
      </c>
    </row>
    <row r="20" customFormat="false" ht="22.35" hidden="false" customHeight="false" outlineLevel="0" collapsed="false">
      <c r="A20" s="15" t="s">
        <v>415</v>
      </c>
      <c r="B20" s="15" t="s">
        <v>416</v>
      </c>
      <c r="C20" s="15"/>
      <c r="D20" s="37" t="s">
        <v>329</v>
      </c>
      <c r="E20" s="37" t="s">
        <v>329</v>
      </c>
      <c r="F20" s="37" t="s">
        <v>329</v>
      </c>
      <c r="G20" s="38" t="str">
        <f aca="false">INDEX(D20:F20,MATCH(SEL_OBJ,$D$4:$F$4,0))</f>
        <v>транспорт</v>
      </c>
      <c r="H20" s="12" t="s">
        <v>32</v>
      </c>
      <c r="I20" s="18" t="s">
        <v>417</v>
      </c>
    </row>
    <row r="21" customFormat="false" ht="22.35" hidden="false" customHeight="false" outlineLevel="0" collapsed="false">
      <c r="A21" s="15" t="s">
        <v>418</v>
      </c>
      <c r="B21" s="15" t="s">
        <v>419</v>
      </c>
      <c r="C21" s="15"/>
      <c r="D21" s="37" t="s">
        <v>420</v>
      </c>
      <c r="E21" s="37" t="s">
        <v>421</v>
      </c>
      <c r="F21" s="37" t="s">
        <v>422</v>
      </c>
      <c r="G21" s="38" t="str">
        <f aca="false">INDEX(D21:F21,MATCH(SEL_OBJ,$D$4:$F$4,0))</f>
        <v>вилы;платформа</v>
      </c>
      <c r="H21" s="12" t="s">
        <v>32</v>
      </c>
      <c r="I21" s="18" t="s">
        <v>423</v>
      </c>
    </row>
    <row r="22" customFormat="false" ht="15" hidden="false" customHeight="false" outlineLevel="0" collapsed="false">
      <c r="A22" s="15" t="s">
        <v>424</v>
      </c>
      <c r="B22" s="15" t="s">
        <v>425</v>
      </c>
      <c r="C22" s="15" t="s">
        <v>390</v>
      </c>
      <c r="D22" s="16" t="n">
        <v>1</v>
      </c>
      <c r="E22" s="16" t="n">
        <v>0</v>
      </c>
      <c r="F22" s="16" t="n">
        <v>1</v>
      </c>
      <c r="G22" s="17" t="n">
        <f aca="false">INDEX(D22:F22,MATCH(SEL_OBJ,$D$4:$F$4,0))</f>
        <v>1</v>
      </c>
      <c r="H22" s="9" t="s">
        <v>24</v>
      </c>
      <c r="I22" s="18" t="s">
        <v>426</v>
      </c>
    </row>
    <row r="23" customFormat="false" ht="22.35" hidden="false" customHeight="false" outlineLevel="0" collapsed="false">
      <c r="A23" s="15" t="s">
        <v>427</v>
      </c>
      <c r="B23" s="15" t="s">
        <v>428</v>
      </c>
      <c r="C23" s="15" t="s">
        <v>118</v>
      </c>
      <c r="D23" s="23" t="n">
        <v>0.8</v>
      </c>
      <c r="E23" s="23" t="n">
        <v>0.8</v>
      </c>
      <c r="F23" s="23" t="n">
        <v>0.8</v>
      </c>
      <c r="G23" s="22" t="n">
        <f aca="false">INDEX(D23:F23,MATCH(SEL_OBJ,$D$4:$F$4,0))</f>
        <v>0.8</v>
      </c>
      <c r="H23" s="12" t="s">
        <v>32</v>
      </c>
      <c r="I23" s="18" t="s">
        <v>429</v>
      </c>
    </row>
    <row r="24" customFormat="false" ht="22.35" hidden="false" customHeight="false" outlineLevel="0" collapsed="false">
      <c r="A24" s="15" t="s">
        <v>430</v>
      </c>
      <c r="B24" s="15" t="s">
        <v>431</v>
      </c>
      <c r="C24" s="15" t="s">
        <v>118</v>
      </c>
      <c r="D24" s="23" t="n">
        <v>0.6</v>
      </c>
      <c r="E24" s="23" t="n">
        <v>0.6</v>
      </c>
      <c r="F24" s="23" t="n">
        <v>0.8</v>
      </c>
      <c r="G24" s="22" t="n">
        <f aca="false">INDEX(D24:F24,MATCH(SEL_OBJ,$D$4:$F$4,0))</f>
        <v>0.6</v>
      </c>
      <c r="H24" s="12" t="s">
        <v>32</v>
      </c>
      <c r="I24" s="18" t="s">
        <v>432</v>
      </c>
    </row>
    <row r="25" customFormat="false" ht="22.35" hidden="false" customHeight="false" outlineLevel="0" collapsed="false">
      <c r="A25" s="15" t="s">
        <v>433</v>
      </c>
      <c r="B25" s="15" t="s">
        <v>434</v>
      </c>
      <c r="C25" s="15" t="s">
        <v>118</v>
      </c>
      <c r="D25" s="23" t="n">
        <v>0.8</v>
      </c>
      <c r="E25" s="23" t="n">
        <v>0.8</v>
      </c>
      <c r="F25" s="23" t="n">
        <v>0.8</v>
      </c>
      <c r="G25" s="22" t="n">
        <f aca="false">INDEX(D25:F25,MATCH(SEL_OBJ,$D$4:$F$4,0))</f>
        <v>0.8</v>
      </c>
      <c r="H25" s="12" t="s">
        <v>32</v>
      </c>
      <c r="I25" s="18" t="s">
        <v>435</v>
      </c>
    </row>
    <row r="26" customFormat="false" ht="22.35" hidden="false" customHeight="false" outlineLevel="0" collapsed="false">
      <c r="A26" s="15" t="s">
        <v>436</v>
      </c>
      <c r="B26" s="15" t="s">
        <v>437</v>
      </c>
      <c r="C26" s="15" t="s">
        <v>118</v>
      </c>
      <c r="D26" s="23" t="n">
        <v>0.5</v>
      </c>
      <c r="E26" s="23" t="n">
        <v>0.8</v>
      </c>
      <c r="F26" s="23" t="n">
        <v>0.5</v>
      </c>
      <c r="G26" s="22" t="n">
        <f aca="false">INDEX(D26:F26,MATCH(SEL_OBJ,$D$4:$F$4,0))</f>
        <v>0.5</v>
      </c>
      <c r="H26" s="12" t="s">
        <v>32</v>
      </c>
      <c r="I26" s="18" t="s">
        <v>438</v>
      </c>
    </row>
    <row r="27" customFormat="false" ht="22.35" hidden="false" customHeight="false" outlineLevel="0" collapsed="false">
      <c r="A27" s="15" t="s">
        <v>439</v>
      </c>
      <c r="B27" s="15" t="s">
        <v>440</v>
      </c>
      <c r="C27" s="15" t="s">
        <v>133</v>
      </c>
      <c r="D27" s="16" t="n">
        <v>5</v>
      </c>
      <c r="E27" s="32" t="n">
        <f aca="false">1_Сырые_данные!E23</f>
        <v>-25</v>
      </c>
      <c r="F27" s="16" t="n">
        <v>18</v>
      </c>
      <c r="G27" s="17" t="n">
        <f aca="false">INDEX(D27:F27,MATCH(SEL_OBJ,$D$4:$F$4,0))</f>
        <v>5</v>
      </c>
      <c r="H27" s="13" t="s">
        <v>367</v>
      </c>
      <c r="I27" s="18" t="s">
        <v>441</v>
      </c>
    </row>
    <row r="28" customFormat="false" ht="22.35" hidden="false" customHeight="false" outlineLevel="0" collapsed="false">
      <c r="A28" s="15" t="s">
        <v>442</v>
      </c>
      <c r="B28" s="15" t="s">
        <v>443</v>
      </c>
      <c r="C28" s="15" t="s">
        <v>118</v>
      </c>
      <c r="D28" s="23" t="n">
        <v>1</v>
      </c>
      <c r="E28" s="23" t="n">
        <v>0.2</v>
      </c>
      <c r="F28" s="23" t="n">
        <v>0.5</v>
      </c>
      <c r="G28" s="22" t="n">
        <f aca="false">INDEX(D28:F28,MATCH(SEL_OBJ,$D$4:$F$4,0))</f>
        <v>1</v>
      </c>
      <c r="H28" s="12" t="s">
        <v>32</v>
      </c>
      <c r="I28" s="18" t="s">
        <v>444</v>
      </c>
    </row>
    <row r="29" customFormat="false" ht="22.35" hidden="false" customHeight="false" outlineLevel="0" collapsed="false">
      <c r="A29" s="15" t="s">
        <v>445</v>
      </c>
      <c r="B29" s="15" t="s">
        <v>446</v>
      </c>
      <c r="C29" s="15" t="s">
        <v>118</v>
      </c>
      <c r="D29" s="23" t="n">
        <v>0</v>
      </c>
      <c r="E29" s="23" t="n">
        <v>0</v>
      </c>
      <c r="F29" s="23" t="n">
        <v>0.3</v>
      </c>
      <c r="G29" s="22" t="n">
        <f aca="false">INDEX(D29:F29,MATCH(SEL_OBJ,$D$4:$F$4,0))</f>
        <v>0</v>
      </c>
      <c r="H29" s="12" t="s">
        <v>32</v>
      </c>
      <c r="I29" s="18" t="s">
        <v>447</v>
      </c>
    </row>
    <row r="30" customFormat="false" ht="22.35" hidden="false" customHeight="false" outlineLevel="0" collapsed="false">
      <c r="A30" s="15" t="s">
        <v>448</v>
      </c>
      <c r="B30" s="15" t="s">
        <v>449</v>
      </c>
      <c r="C30" s="15" t="s">
        <v>118</v>
      </c>
      <c r="D30" s="23" t="n">
        <v>0</v>
      </c>
      <c r="E30" s="23" t="n">
        <v>0</v>
      </c>
      <c r="F30" s="23" t="n">
        <v>0.5</v>
      </c>
      <c r="G30" s="22" t="n">
        <f aca="false">INDEX(D30:F30,MATCH(SEL_OBJ,$D$4:$F$4,0))</f>
        <v>0</v>
      </c>
      <c r="H30" s="12" t="s">
        <v>32</v>
      </c>
      <c r="I30" s="18" t="s">
        <v>450</v>
      </c>
    </row>
    <row r="31" customFormat="false" ht="22.35" hidden="false" customHeight="false" outlineLevel="0" collapsed="false">
      <c r="A31" s="15" t="s">
        <v>451</v>
      </c>
      <c r="B31" s="15" t="s">
        <v>452</v>
      </c>
      <c r="C31" s="15" t="s">
        <v>162</v>
      </c>
      <c r="D31" s="25" t="n">
        <v>0</v>
      </c>
      <c r="E31" s="25" t="n">
        <v>0</v>
      </c>
      <c r="F31" s="36" t="n">
        <f aca="false">1_Сырые_данные!F35</f>
        <v>55000</v>
      </c>
      <c r="G31" s="17" t="n">
        <f aca="false">INDEX(D31:F31,MATCH(SEL_OBJ,$D$4:$F$4,0))</f>
        <v>0</v>
      </c>
      <c r="H31" s="12" t="s">
        <v>32</v>
      </c>
      <c r="I31" s="18" t="s">
        <v>453</v>
      </c>
    </row>
    <row r="32" customFormat="false" ht="22.35" hidden="false" customHeight="false" outlineLevel="0" collapsed="false">
      <c r="A32" s="15" t="s">
        <v>454</v>
      </c>
      <c r="B32" s="15" t="s">
        <v>455</v>
      </c>
      <c r="C32" s="15" t="s">
        <v>456</v>
      </c>
      <c r="D32" s="29" t="n">
        <f aca="false">(1_Сырые_данные!D34*D28+1_Сырые_данные!D36*D29+1_Сырые_данные!D38*D30)*D10</f>
        <v>23.75</v>
      </c>
      <c r="E32" s="29" t="n">
        <f aca="false">(1_Сырые_данные!E34*E28+1_Сырые_данные!E36*E29+1_Сырые_данные!E38*E30)*E10</f>
        <v>57.6</v>
      </c>
      <c r="F32" s="29" t="n">
        <f aca="false">(1_Сырые_данные!F34*F28+1_Сырые_данные!F36*F29+1_Сырые_данные!F38*F30)*F10</f>
        <v>44.91</v>
      </c>
      <c r="G32" s="31" t="n">
        <f aca="false">INDEX(D32:F32,MATCH(SEL_OBJ,$D$4:$F$4,0))</f>
        <v>23.75</v>
      </c>
      <c r="H32" s="13" t="s">
        <v>380</v>
      </c>
      <c r="I32" s="18" t="s">
        <v>457</v>
      </c>
    </row>
    <row r="33" customFormat="false" ht="22.35" hidden="false" customHeight="false" outlineLevel="0" collapsed="false">
      <c r="A33" s="15" t="s">
        <v>458</v>
      </c>
      <c r="B33" s="15" t="s">
        <v>459</v>
      </c>
      <c r="C33" s="15" t="s">
        <v>255</v>
      </c>
      <c r="D33" s="39" t="n">
        <f aca="false">(1_Сырые_данные!D34*D28*1_Сырые_данные!D35+1_Сырые_данные!D36*D29*1_Сырые_данные!D37+1_Сырые_данные!D38*D30*D31)*D10*12*N_fot</f>
        <v>44528400</v>
      </c>
      <c r="E33" s="39" t="n">
        <f aca="false">(1_Сырые_данные!E34*E28*1_Сырые_данные!E35+1_Сырые_данные!E36*E29*1_Сырые_данные!E37+1_Сырые_данные!E38*E30*E31)*E10*12*N_fot</f>
        <v>89994240</v>
      </c>
      <c r="F33" s="39" t="n">
        <f aca="false">(1_Сырые_данные!F34*F28*1_Сырые_данные!F35+1_Сырые_данные!F36*F29*1_Сырые_данные!F37+1_Сырые_данные!F38*F30*F31)*F10*12*N_fot</f>
        <v>38237708.88</v>
      </c>
      <c r="G33" s="40" t="n">
        <f aca="false">INDEX(D33:F33,MATCH(SEL_OBJ,$D$4:$F$4,0))</f>
        <v>44528400</v>
      </c>
      <c r="H33" s="13" t="s">
        <v>380</v>
      </c>
      <c r="I33" s="18"/>
    </row>
    <row r="34" customFormat="false" ht="22.35" hidden="false" customHeight="false" outlineLevel="0" collapsed="false">
      <c r="A34" s="15" t="s">
        <v>460</v>
      </c>
      <c r="B34" s="15" t="s">
        <v>461</v>
      </c>
      <c r="C34" s="15" t="s">
        <v>255</v>
      </c>
      <c r="D34" s="39" t="n">
        <f aca="false">(1_Сырые_данные!D34*D28*1_Сырые_данные!D35+1_Сырые_данные!D36*D29*1_Сырые_данные!D37+1_Сырые_данные!D38*D30*D31)*12*N_fot</f>
        <v>46872000</v>
      </c>
      <c r="E34" s="39" t="n">
        <f aca="false">(1_Сырые_данные!E34*E28*1_Сырые_данные!E35+1_Сырые_данные!E36*E29*1_Сырые_данные!E37+1_Сырые_данные!E38*E30*E31)*12*N_fot</f>
        <v>99993600</v>
      </c>
      <c r="F34" s="39" t="n">
        <f aca="false">(1_Сырые_данные!F34*F28*1_Сырые_данные!F35+1_Сырые_данные!F36*F29*1_Сырые_данные!F37+1_Сырые_данные!F38*F30*F31)*12*N_fot</f>
        <v>42486343.2</v>
      </c>
      <c r="G34" s="40" t="n">
        <f aca="false">INDEX(D34:F34,MATCH(SEL_OBJ,$D$4:$F$4,0))</f>
        <v>46872000</v>
      </c>
      <c r="H34" s="13" t="s">
        <v>380</v>
      </c>
      <c r="I34" s="18"/>
    </row>
    <row r="35" customFormat="false" ht="22.35" hidden="false" customHeight="false" outlineLevel="0" collapsed="false">
      <c r="A35" s="15" t="s">
        <v>462</v>
      </c>
      <c r="B35" s="15" t="s">
        <v>463</v>
      </c>
      <c r="C35" s="15" t="s">
        <v>162</v>
      </c>
      <c r="D35" s="32" t="n">
        <f aca="false">1_Сырые_данные!D35</f>
        <v>120000</v>
      </c>
      <c r="E35" s="32" t="n">
        <f aca="false">1_Сырые_данные!E35</f>
        <v>100000</v>
      </c>
      <c r="F35" s="32" t="n">
        <f aca="false">1_Сырые_данные!F35</f>
        <v>55000</v>
      </c>
      <c r="G35" s="17" t="n">
        <f aca="false">INDEX(D35:F35,MATCH(SEL_OBJ,$D$4:$F$4,0))</f>
        <v>120000</v>
      </c>
      <c r="H35" s="13" t="s">
        <v>367</v>
      </c>
      <c r="I35" s="18"/>
    </row>
    <row r="36" customFormat="false" ht="22.35" hidden="false" customHeight="false" outlineLevel="0" collapsed="false">
      <c r="A36" s="15" t="s">
        <v>464</v>
      </c>
      <c r="B36" s="15" t="s">
        <v>465</v>
      </c>
      <c r="C36" s="15" t="s">
        <v>118</v>
      </c>
      <c r="D36" s="41" t="n">
        <f aca="false">0</f>
        <v>0</v>
      </c>
      <c r="E36" s="41" t="n">
        <f aca="false">1_Сырые_данные!E40</f>
        <v>0.35</v>
      </c>
      <c r="F36" s="41" t="n">
        <f aca="false">1_Сырые_данные!F40</f>
        <v>0.45</v>
      </c>
      <c r="G36" s="22" t="n">
        <f aca="false">INDEX(D36:F36,MATCH(SEL_OBJ,$D$4:$F$4,0))</f>
        <v>0</v>
      </c>
      <c r="H36" s="13" t="s">
        <v>367</v>
      </c>
      <c r="I36" s="18" t="s">
        <v>466</v>
      </c>
    </row>
    <row r="37" customFormat="false" ht="22.35" hidden="false" customHeight="false" outlineLevel="0" collapsed="false">
      <c r="A37" s="15" t="s">
        <v>467</v>
      </c>
      <c r="B37" s="15" t="s">
        <v>468</v>
      </c>
      <c r="C37" s="15" t="s">
        <v>118</v>
      </c>
      <c r="D37" s="41" t="n">
        <f aca="false">1_Сырые_данные!D39</f>
        <v>0.25</v>
      </c>
      <c r="E37" s="41" t="n">
        <f aca="false">N_loss_k_default</f>
        <v>0.25</v>
      </c>
      <c r="F37" s="41" t="n">
        <f aca="false">N_loss_k_default</f>
        <v>0.25</v>
      </c>
      <c r="G37" s="22" t="n">
        <f aca="false">INDEX(D37:F37,MATCH(SEL_OBJ,$D$4:$F$4,0))</f>
        <v>0.25</v>
      </c>
      <c r="H37" s="13" t="s">
        <v>367</v>
      </c>
      <c r="I37" s="18" t="s">
        <v>469</v>
      </c>
    </row>
    <row r="38" customFormat="false" ht="22.35" hidden="false" customHeight="false" outlineLevel="0" collapsed="false">
      <c r="A38" s="15" t="s">
        <v>470</v>
      </c>
      <c r="B38" s="15" t="s">
        <v>471</v>
      </c>
      <c r="C38" s="15" t="s">
        <v>158</v>
      </c>
      <c r="D38" s="25" t="n">
        <v>1</v>
      </c>
      <c r="E38" s="25" t="n">
        <v>1</v>
      </c>
      <c r="F38" s="25" t="n">
        <v>1</v>
      </c>
      <c r="G38" s="17" t="n">
        <f aca="false">INDEX(D38:F38,MATCH(SEL_OBJ,$D$4:$F$4,0))</f>
        <v>1</v>
      </c>
      <c r="H38" s="12" t="s">
        <v>32</v>
      </c>
      <c r="I38" s="18"/>
    </row>
    <row r="39" customFormat="false" ht="22.35" hidden="false" customHeight="false" outlineLevel="0" collapsed="false">
      <c r="A39" s="15" t="s">
        <v>472</v>
      </c>
      <c r="B39" s="15" t="s">
        <v>473</v>
      </c>
      <c r="C39" s="15" t="s">
        <v>162</v>
      </c>
      <c r="D39" s="36" t="n">
        <f aca="false">1_Сырые_данные!D35</f>
        <v>120000</v>
      </c>
      <c r="E39" s="36" t="n">
        <f aca="false">1_Сырые_данные!E35</f>
        <v>100000</v>
      </c>
      <c r="F39" s="36" t="n">
        <f aca="false">1_Сырые_данные!F35</f>
        <v>55000</v>
      </c>
      <c r="G39" s="17" t="n">
        <f aca="false">INDEX(D39:F39,MATCH(SEL_OBJ,$D$4:$F$4,0))</f>
        <v>120000</v>
      </c>
      <c r="H39" s="12" t="s">
        <v>32</v>
      </c>
      <c r="I39" s="18" t="s">
        <v>474</v>
      </c>
    </row>
    <row r="40" customFormat="false" ht="22.35" hidden="false" customHeight="false" outlineLevel="0" collapsed="false">
      <c r="A40" s="15" t="s">
        <v>475</v>
      </c>
      <c r="B40" s="15" t="s">
        <v>476</v>
      </c>
      <c r="C40" s="15" t="s">
        <v>118</v>
      </c>
      <c r="D40" s="23" t="n">
        <v>0.05</v>
      </c>
      <c r="E40" s="23" t="n">
        <v>0.1</v>
      </c>
      <c r="F40" s="23" t="n">
        <v>0.15</v>
      </c>
      <c r="G40" s="22" t="n">
        <f aca="false">INDEX(D40:F40,MATCH(SEL_OBJ,$D$4:$F$4,0))</f>
        <v>0.05</v>
      </c>
      <c r="H40" s="12" t="s">
        <v>32</v>
      </c>
      <c r="I40" s="18" t="s">
        <v>477</v>
      </c>
    </row>
    <row r="41" customFormat="false" ht="22.35" hidden="false" customHeight="false" outlineLevel="0" collapsed="false">
      <c r="A41" s="15" t="s">
        <v>478</v>
      </c>
      <c r="B41" s="15" t="s">
        <v>479</v>
      </c>
      <c r="C41" s="15" t="s">
        <v>215</v>
      </c>
      <c r="D41" s="42" t="n">
        <v>2000000</v>
      </c>
      <c r="E41" s="42" t="n">
        <v>3000000</v>
      </c>
      <c r="F41" s="42" t="n">
        <v>2500000</v>
      </c>
      <c r="G41" s="40" t="n">
        <f aca="false">INDEX(D41:F41,MATCH(SEL_OBJ,$D$4:$F$4,0))</f>
        <v>2000000</v>
      </c>
      <c r="H41" s="12" t="s">
        <v>32</v>
      </c>
      <c r="I41" s="18" t="s">
        <v>480</v>
      </c>
    </row>
    <row r="42" customFormat="false" ht="22.35" hidden="false" customHeight="false" outlineLevel="0" collapsed="false">
      <c r="A42" s="15" t="s">
        <v>481</v>
      </c>
      <c r="B42" s="15" t="s">
        <v>482</v>
      </c>
      <c r="C42" s="15" t="s">
        <v>255</v>
      </c>
      <c r="D42" s="42" t="n">
        <v>0</v>
      </c>
      <c r="E42" s="42" t="n">
        <v>0</v>
      </c>
      <c r="F42" s="43" t="n">
        <f aca="false">2*365*120</f>
        <v>87600</v>
      </c>
      <c r="G42" s="40" t="n">
        <f aca="false">INDEX(D42:F42,MATCH(SEL_OBJ,$D$4:$F$4,0))</f>
        <v>0</v>
      </c>
      <c r="H42" s="12" t="s">
        <v>32</v>
      </c>
      <c r="I42" s="18" t="s">
        <v>483</v>
      </c>
    </row>
    <row r="43" customFormat="false" ht="22.35" hidden="false" customHeight="false" outlineLevel="0" collapsed="false">
      <c r="A43" s="15" t="s">
        <v>484</v>
      </c>
      <c r="B43" s="15" t="s">
        <v>485</v>
      </c>
      <c r="C43" s="15" t="s">
        <v>255</v>
      </c>
      <c r="D43" s="42" t="n">
        <v>0</v>
      </c>
      <c r="E43" s="42" t="n">
        <v>0</v>
      </c>
      <c r="F43" s="42" t="n">
        <v>0</v>
      </c>
      <c r="G43" s="40" t="n">
        <f aca="false">INDEX(D43:F43,MATCH(SEL_OBJ,$D$4:$F$4,0))</f>
        <v>0</v>
      </c>
      <c r="H43" s="12" t="s">
        <v>32</v>
      </c>
      <c r="I43" s="18" t="s">
        <v>486</v>
      </c>
    </row>
    <row r="44" customFormat="false" ht="22.35" hidden="false" customHeight="false" outlineLevel="0" collapsed="false">
      <c r="A44" s="15" t="s">
        <v>178</v>
      </c>
      <c r="B44" s="15" t="s">
        <v>487</v>
      </c>
      <c r="C44" s="15" t="s">
        <v>180</v>
      </c>
      <c r="D44" s="32" t="n">
        <f aca="false">1_Сырые_данные!D41</f>
        <v>500</v>
      </c>
      <c r="E44" s="32" t="n">
        <f aca="false">1_Сырые_данные!E41</f>
        <v>300</v>
      </c>
      <c r="F44" s="32" t="n">
        <f aca="false">1_Сырые_данные!F41</f>
        <v>80</v>
      </c>
      <c r="G44" s="17" t="n">
        <f aca="false">INDEX(D44:F44,MATCH(SEL_OBJ,$D$4:$F$4,0))</f>
        <v>500</v>
      </c>
      <c r="H44" s="13" t="s">
        <v>367</v>
      </c>
      <c r="I44" s="18"/>
    </row>
    <row r="45" customFormat="false" ht="22.35" hidden="false" customHeight="false" outlineLevel="0" collapsed="false">
      <c r="A45" s="15" t="s">
        <v>181</v>
      </c>
      <c r="B45" s="15" t="s">
        <v>488</v>
      </c>
      <c r="C45" s="15" t="s">
        <v>183</v>
      </c>
      <c r="D45" s="32" t="n">
        <f aca="false">1_Сырые_данные!D42</f>
        <v>80</v>
      </c>
      <c r="E45" s="32" t="n">
        <f aca="false">1_Сырые_данные!E42</f>
        <v>120</v>
      </c>
      <c r="F45" s="32" t="n">
        <f aca="false">1_Сырые_данные!F42</f>
        <v>35</v>
      </c>
      <c r="G45" s="17" t="n">
        <f aca="false">INDEX(D45:F45,MATCH(SEL_OBJ,$D$4:$F$4,0))</f>
        <v>80</v>
      </c>
      <c r="H45" s="13" t="s">
        <v>367</v>
      </c>
      <c r="I45" s="18"/>
    </row>
    <row r="46" customFormat="false" ht="22.35" hidden="false" customHeight="false" outlineLevel="0" collapsed="false">
      <c r="A46" s="15" t="s">
        <v>184</v>
      </c>
      <c r="B46" s="15" t="s">
        <v>489</v>
      </c>
      <c r="C46" s="15" t="s">
        <v>186</v>
      </c>
      <c r="D46" s="32" t="n">
        <f aca="false">1_Сырые_данные!D43</f>
        <v>5</v>
      </c>
      <c r="E46" s="32" t="n">
        <f aca="false">1_Сырые_данные!E43</f>
        <v>7</v>
      </c>
      <c r="F46" s="32" t="n">
        <f aca="false">1_Сырые_данные!F43</f>
        <v>7</v>
      </c>
      <c r="G46" s="17" t="n">
        <f aca="false">INDEX(D46:F46,MATCH(SEL_OBJ,$D$4:$F$4,0))</f>
        <v>5</v>
      </c>
      <c r="H46" s="13" t="s">
        <v>367</v>
      </c>
      <c r="I46" s="1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58"/>
    <col collapsed="false" customWidth="true" hidden="false" outlineLevel="0" max="3" min="3" style="0" width="11"/>
    <col collapsed="false" customWidth="true" hidden="false" outlineLevel="0" max="4" min="4" style="0" width="24"/>
    <col collapsed="false" customWidth="true" hidden="false" outlineLevel="0" max="5" min="5" style="0" width="30"/>
    <col collapsed="false" customWidth="true" hidden="false" outlineLevel="0" max="10" min="6" style="0" width="19"/>
  </cols>
  <sheetData>
    <row r="1" customFormat="false" ht="17.35" hidden="false" customHeight="false" outlineLevel="0" collapsed="false">
      <c r="A1" s="1" t="s">
        <v>490</v>
      </c>
    </row>
    <row r="2" customFormat="false" ht="15" hidden="false" customHeight="false" outlineLevel="0" collapsed="false">
      <c r="A2" s="2" t="s">
        <v>491</v>
      </c>
    </row>
    <row r="4" customFormat="false" ht="18" hidden="false" customHeight="true" outlineLevel="0" collapsed="false">
      <c r="A4" s="44" t="s">
        <v>492</v>
      </c>
      <c r="B4" s="44"/>
      <c r="C4" s="44"/>
      <c r="D4" s="44"/>
      <c r="E4" s="44"/>
      <c r="F4" s="44"/>
      <c r="G4" s="44"/>
      <c r="H4" s="44"/>
      <c r="I4" s="44"/>
    </row>
    <row r="5" customFormat="false" ht="31.5" hidden="false" customHeight="true" outlineLevel="0" collapsed="false">
      <c r="A5" s="5"/>
      <c r="B5" s="5" t="s">
        <v>70</v>
      </c>
      <c r="C5" s="5" t="s">
        <v>71</v>
      </c>
      <c r="D5" s="5" t="s">
        <v>493</v>
      </c>
      <c r="E5" s="5" t="s">
        <v>494</v>
      </c>
      <c r="F5" s="5" t="s">
        <v>495</v>
      </c>
      <c r="G5" s="5" t="s">
        <v>496</v>
      </c>
      <c r="H5" s="5" t="s">
        <v>497</v>
      </c>
    </row>
    <row r="6" customFormat="false" ht="15" hidden="false" customHeight="false" outlineLevel="0" collapsed="false">
      <c r="B6" s="15" t="s">
        <v>498</v>
      </c>
      <c r="C6" s="15"/>
      <c r="D6" s="13" t="s">
        <v>499</v>
      </c>
      <c r="E6" s="18" t="s">
        <v>500</v>
      </c>
      <c r="F6" s="45" t="str">
        <f aca="false">SEL_A</f>
        <v>DMR-CARRIER-P</v>
      </c>
      <c r="G6" s="45" t="str">
        <f aca="false">SEL_A</f>
        <v>DMR-CARRIER-P</v>
      </c>
      <c r="H6" s="45" t="str">
        <f aca="false">SEL_B</f>
        <v>RONAVI-H1500</v>
      </c>
    </row>
    <row r="7" customFormat="false" ht="15" hidden="false" customHeight="false" outlineLevel="0" collapsed="false">
      <c r="B7" s="15" t="s">
        <v>501</v>
      </c>
      <c r="C7" s="15"/>
      <c r="D7" s="12" t="s">
        <v>32</v>
      </c>
      <c r="E7" s="18" t="s">
        <v>502</v>
      </c>
      <c r="F7" s="45" t="s">
        <v>503</v>
      </c>
      <c r="G7" s="45" t="s">
        <v>504</v>
      </c>
      <c r="H7" s="45" t="s">
        <v>503</v>
      </c>
    </row>
    <row r="8" customFormat="false" ht="15" hidden="false" customHeight="false" outlineLevel="0" collapsed="false">
      <c r="B8" s="15" t="s">
        <v>386</v>
      </c>
      <c r="C8" s="15" t="s">
        <v>115</v>
      </c>
      <c r="D8" s="13" t="s">
        <v>380</v>
      </c>
      <c r="E8" s="18" t="s">
        <v>505</v>
      </c>
      <c r="F8" s="46" t="n">
        <f aca="false">P_unit_mass</f>
        <v>800</v>
      </c>
      <c r="G8" s="46" t="n">
        <f aca="false">P_unit_mass</f>
        <v>800</v>
      </c>
      <c r="H8" s="46" t="n">
        <f aca="false">P_unit_mass</f>
        <v>800</v>
      </c>
    </row>
    <row r="9" customFormat="false" ht="15" hidden="false" customHeight="false" outlineLevel="0" collapsed="false">
      <c r="B9" s="15" t="s">
        <v>506</v>
      </c>
      <c r="C9" s="15" t="s">
        <v>390</v>
      </c>
      <c r="D9" s="12" t="s">
        <v>32</v>
      </c>
      <c r="E9" s="18" t="s">
        <v>507</v>
      </c>
      <c r="F9" s="46" t="n">
        <f aca="false">P_divisible</f>
        <v>0</v>
      </c>
      <c r="G9" s="46" t="n">
        <f aca="false">P_divisible</f>
        <v>0</v>
      </c>
      <c r="H9" s="46" t="n">
        <f aca="false">P_divisible</f>
        <v>0</v>
      </c>
    </row>
    <row r="10" customFormat="false" ht="15" hidden="false" customHeight="false" outlineLevel="0" collapsed="false">
      <c r="B10" s="15" t="s">
        <v>508</v>
      </c>
      <c r="C10" s="15" t="s">
        <v>84</v>
      </c>
      <c r="D10" s="13" t="s">
        <v>380</v>
      </c>
      <c r="E10" s="18" t="s">
        <v>509</v>
      </c>
      <c r="F10" s="47" t="n">
        <f aca="false">P_aisle</f>
        <v>2.8</v>
      </c>
      <c r="G10" s="47" t="n">
        <f aca="false">P_aisle</f>
        <v>2.8</v>
      </c>
      <c r="H10" s="47" t="n">
        <f aca="false">P_aisle</f>
        <v>2.8</v>
      </c>
    </row>
    <row r="11" customFormat="false" ht="15" hidden="false" customHeight="false" outlineLevel="0" collapsed="false">
      <c r="B11" s="15" t="s">
        <v>510</v>
      </c>
      <c r="C11" s="15"/>
      <c r="D11" s="13" t="s">
        <v>380</v>
      </c>
      <c r="E11" s="18" t="s">
        <v>511</v>
      </c>
      <c r="F11" s="46" t="n">
        <f aca="false">P_outdoor_req</f>
        <v>0</v>
      </c>
      <c r="G11" s="46" t="n">
        <f aca="false">P_outdoor_req</f>
        <v>0</v>
      </c>
      <c r="H11" s="46" t="n">
        <f aca="false">P_outdoor_req</f>
        <v>0</v>
      </c>
    </row>
    <row r="12" customFormat="false" ht="23.85" hidden="false" customHeight="false" outlineLevel="0" collapsed="false">
      <c r="B12" s="15" t="s">
        <v>512</v>
      </c>
      <c r="C12" s="15"/>
      <c r="D12" s="12" t="s">
        <v>32</v>
      </c>
      <c r="E12" s="18" t="s">
        <v>513</v>
      </c>
      <c r="F12" s="45" t="str">
        <f aca="false">P_handling_req</f>
        <v>вилы;платформа</v>
      </c>
      <c r="G12" s="45" t="str">
        <f aca="false">P_handling_req</f>
        <v>вилы;платформа</v>
      </c>
      <c r="H12" s="45" t="str">
        <f aca="false">P_handling_req</f>
        <v>вилы;платформа</v>
      </c>
    </row>
    <row r="13" customFormat="false" ht="22.35" hidden="false" customHeight="false" outlineLevel="0" collapsed="false">
      <c r="B13" s="15" t="s">
        <v>514</v>
      </c>
      <c r="C13" s="15" t="s">
        <v>118</v>
      </c>
      <c r="D13" s="12" t="s">
        <v>32</v>
      </c>
      <c r="E13" s="18" t="s">
        <v>515</v>
      </c>
      <c r="F13" s="48" t="n">
        <f aca="false">P_repl_platform</f>
        <v>0.6</v>
      </c>
      <c r="G13" s="48" t="n">
        <f aca="false">P_repl_platform</f>
        <v>0.6</v>
      </c>
      <c r="H13" s="48" t="n">
        <f aca="false">P_repl_platform</f>
        <v>0.6</v>
      </c>
    </row>
    <row r="15" customFormat="false" ht="18" hidden="false" customHeight="true" outlineLevel="0" collapsed="false">
      <c r="A15" s="44" t="s">
        <v>516</v>
      </c>
      <c r="B15" s="44"/>
      <c r="C15" s="44"/>
      <c r="D15" s="44"/>
      <c r="E15" s="44"/>
      <c r="F15" s="44"/>
      <c r="G15" s="44"/>
      <c r="H15" s="44"/>
      <c r="I15" s="44"/>
    </row>
    <row r="16" customFormat="false" ht="31.5" hidden="false" customHeight="true" outlineLevel="0" collapsed="false">
      <c r="A16" s="5" t="s">
        <v>517</v>
      </c>
      <c r="B16" s="5" t="s">
        <v>518</v>
      </c>
      <c r="C16" s="5" t="s">
        <v>71</v>
      </c>
      <c r="D16" s="5" t="s">
        <v>519</v>
      </c>
      <c r="E16" s="5"/>
      <c r="F16" s="5" t="s">
        <v>520</v>
      </c>
      <c r="G16" s="5" t="s">
        <v>521</v>
      </c>
      <c r="H16" s="5" t="s">
        <v>522</v>
      </c>
    </row>
    <row r="17" customFormat="false" ht="15" hidden="false" customHeight="false" outlineLevel="0" collapsed="false">
      <c r="A17" s="49"/>
      <c r="B17" s="50" t="s">
        <v>523</v>
      </c>
      <c r="C17" s="49"/>
      <c r="D17" s="49"/>
      <c r="E17" s="49"/>
      <c r="F17" s="49"/>
      <c r="G17" s="49"/>
      <c r="H17" s="49"/>
    </row>
    <row r="18" customFormat="false" ht="23.85" hidden="false" customHeight="false" outlineLevel="0" collapsed="false">
      <c r="A18" s="18" t="s">
        <v>524</v>
      </c>
      <c r="B18" s="15" t="s">
        <v>303</v>
      </c>
      <c r="C18" s="15"/>
      <c r="D18" s="18" t="s">
        <v>525</v>
      </c>
      <c r="E18" s="51"/>
      <c r="F18" s="52" t="str">
        <f aca="false">INDEX(Cat_name,MATCH(F$6,Cat_code,0))</f>
        <v>DMR Carrier P (FMR)</v>
      </c>
      <c r="G18" s="52" t="str">
        <f aca="false">INDEX(Cat_name,MATCH(G$6,Cat_code,0))</f>
        <v>DMR Carrier P (FMR)</v>
      </c>
      <c r="H18" s="52" t="str">
        <f aca="false">INDEX(Cat_name,MATCH(H$6,Cat_code,0))</f>
        <v>Ronavi H1500 (AMR, 1500 кг)</v>
      </c>
    </row>
    <row r="19" customFormat="false" ht="22.35" hidden="false" customHeight="false" outlineLevel="0" collapsed="false">
      <c r="A19" s="18" t="s">
        <v>526</v>
      </c>
      <c r="B19" s="15" t="s">
        <v>527</v>
      </c>
      <c r="C19" s="15"/>
      <c r="D19" s="18" t="s">
        <v>528</v>
      </c>
      <c r="E19" s="51"/>
      <c r="F19" s="52" t="str">
        <f aca="false">INDEX(Cat_status,MATCH(F$6,Cat_code,0))</f>
        <v>piloting</v>
      </c>
      <c r="G19" s="52" t="str">
        <f aca="false">INDEX(Cat_status,MATCH(G$6,Cat_code,0))</f>
        <v>piloting</v>
      </c>
      <c r="H19" s="52" t="str">
        <f aca="false">INDEX(Cat_status,MATCH(H$6,Cat_code,0))</f>
        <v>operation</v>
      </c>
    </row>
    <row r="20" customFormat="false" ht="22.35" hidden="false" customHeight="false" outlineLevel="0" collapsed="false">
      <c r="A20" s="18" t="s">
        <v>529</v>
      </c>
      <c r="B20" s="15" t="s">
        <v>324</v>
      </c>
      <c r="C20" s="15"/>
      <c r="D20" s="18" t="s">
        <v>530</v>
      </c>
      <c r="E20" s="51"/>
      <c r="F20" s="52" t="str">
        <f aca="false">INDEX(Cat_conf,MATCH(F$6,Cat_code,0))</f>
        <v>Частично</v>
      </c>
      <c r="G20" s="52" t="str">
        <f aca="false">INDEX(Cat_conf,MATCH(G$6,Cat_code,0))</f>
        <v>Частично</v>
      </c>
      <c r="H20" s="52" t="str">
        <f aca="false">INDEX(Cat_conf,MATCH(H$6,Cat_code,0))</f>
        <v>Да</v>
      </c>
    </row>
    <row r="21" customFormat="false" ht="22.35" hidden="false" customHeight="false" outlineLevel="0" collapsed="false">
      <c r="A21" s="18" t="s">
        <v>531</v>
      </c>
      <c r="B21" s="53" t="s">
        <v>532</v>
      </c>
      <c r="C21" s="15" t="s">
        <v>215</v>
      </c>
      <c r="D21" s="18" t="s">
        <v>533</v>
      </c>
      <c r="E21" s="51"/>
      <c r="F21" s="54" t="n">
        <f aca="false">INDEX(Cat_price,MATCH(F$6,Cat_code,0))</f>
        <v>4300000</v>
      </c>
      <c r="G21" s="54" t="n">
        <f aca="false">INDEX(Cat_price,MATCH(G$6,Cat_code,0))</f>
        <v>4300000</v>
      </c>
      <c r="H21" s="54" t="n">
        <f aca="false">INDEX(Cat_price,MATCH(H$6,Cat_code,0))</f>
        <v>2700000</v>
      </c>
    </row>
    <row r="22" customFormat="false" ht="22.35" hidden="false" customHeight="false" outlineLevel="0" collapsed="false">
      <c r="A22" s="18" t="s">
        <v>534</v>
      </c>
      <c r="B22" s="53" t="s">
        <v>535</v>
      </c>
      <c r="C22" s="15" t="s">
        <v>115</v>
      </c>
      <c r="D22" s="18" t="s">
        <v>536</v>
      </c>
      <c r="E22" s="51"/>
      <c r="F22" s="55" t="n">
        <f aca="false">INDEX(Cat_cap,MATCH(F$6,Cat_code,0))</f>
        <v>1500</v>
      </c>
      <c r="G22" s="55" t="n">
        <f aca="false">INDEX(Cat_cap,MATCH(G$6,Cat_code,0))</f>
        <v>1500</v>
      </c>
      <c r="H22" s="55" t="n">
        <f aca="false">INDEX(Cat_cap,MATCH(H$6,Cat_code,0))</f>
        <v>1500</v>
      </c>
    </row>
    <row r="23" customFormat="false" ht="22.35" hidden="false" customHeight="false" outlineLevel="0" collapsed="false">
      <c r="A23" s="18" t="s">
        <v>537</v>
      </c>
      <c r="B23" s="53" t="s">
        <v>538</v>
      </c>
      <c r="C23" s="15" t="s">
        <v>397</v>
      </c>
      <c r="D23" s="18" t="s">
        <v>539</v>
      </c>
      <c r="E23" s="51"/>
      <c r="F23" s="56" t="n">
        <f aca="false">INDEX(Cat_vmax,MATCH(F$6,Cat_code,0))</f>
        <v>1.5</v>
      </c>
      <c r="G23" s="56" t="n">
        <f aca="false">INDEX(Cat_vmax,MATCH(G$6,Cat_code,0))</f>
        <v>1.5</v>
      </c>
      <c r="H23" s="56" t="n">
        <f aca="false">INDEX(Cat_vmax,MATCH(H$6,Cat_code,0))</f>
        <v>1.5</v>
      </c>
    </row>
    <row r="24" customFormat="false" ht="22.35" hidden="false" customHeight="false" outlineLevel="0" collapsed="false">
      <c r="A24" s="18" t="s">
        <v>540</v>
      </c>
      <c r="B24" s="53" t="s">
        <v>541</v>
      </c>
      <c r="C24" s="15" t="s">
        <v>404</v>
      </c>
      <c r="D24" s="18" t="s">
        <v>542</v>
      </c>
      <c r="E24" s="51"/>
      <c r="F24" s="55" t="n">
        <f aca="false">INDEX(Cat_tload,MATCH(F$6,Cat_code,0))</f>
        <v>60</v>
      </c>
      <c r="G24" s="55" t="n">
        <f aca="false">INDEX(Cat_tload,MATCH(G$6,Cat_code,0))</f>
        <v>60</v>
      </c>
      <c r="H24" s="55" t="n">
        <f aca="false">INDEX(Cat_tload,MATCH(H$6,Cat_code,0))</f>
        <v>30</v>
      </c>
    </row>
    <row r="25" customFormat="false" ht="22.35" hidden="false" customHeight="false" outlineLevel="0" collapsed="false">
      <c r="A25" s="18" t="s">
        <v>543</v>
      </c>
      <c r="B25" s="53" t="s">
        <v>544</v>
      </c>
      <c r="C25" s="15" t="s">
        <v>404</v>
      </c>
      <c r="D25" s="18" t="s">
        <v>545</v>
      </c>
      <c r="E25" s="51"/>
      <c r="F25" s="55" t="n">
        <f aca="false">INDEX(Cat_tunload,MATCH(F$6,Cat_code,0))</f>
        <v>60</v>
      </c>
      <c r="G25" s="55" t="n">
        <f aca="false">INDEX(Cat_tunload,MATCH(G$6,Cat_code,0))</f>
        <v>60</v>
      </c>
      <c r="H25" s="55" t="n">
        <f aca="false">INDEX(Cat_tunload,MATCH(H$6,Cat_code,0))</f>
        <v>30</v>
      </c>
    </row>
    <row r="26" customFormat="false" ht="22.35" hidden="false" customHeight="false" outlineLevel="0" collapsed="false">
      <c r="A26" s="18" t="s">
        <v>546</v>
      </c>
      <c r="B26" s="53" t="s">
        <v>547</v>
      </c>
      <c r="C26" s="15" t="s">
        <v>180</v>
      </c>
      <c r="D26" s="18" t="s">
        <v>548</v>
      </c>
      <c r="E26" s="51"/>
      <c r="F26" s="56" t="n">
        <f aca="false">INDEX(Cat_power,MATCH(F$6,Cat_code,0))</f>
        <v>3</v>
      </c>
      <c r="G26" s="56" t="n">
        <f aca="false">INDEX(Cat_power,MATCH(G$6,Cat_code,0))</f>
        <v>3</v>
      </c>
      <c r="H26" s="56" t="n">
        <f aca="false">INDEX(Cat_power,MATCH(H$6,Cat_code,0))</f>
        <v>1</v>
      </c>
    </row>
    <row r="27" customFormat="false" ht="22.35" hidden="false" customHeight="false" outlineLevel="0" collapsed="false">
      <c r="A27" s="18" t="s">
        <v>549</v>
      </c>
      <c r="B27" s="15" t="s">
        <v>550</v>
      </c>
      <c r="C27" s="15"/>
      <c r="D27" s="18" t="s">
        <v>551</v>
      </c>
      <c r="E27" s="51"/>
      <c r="F27" s="52" t="str">
        <f aca="false">INDEX(Cat_handling,MATCH(F$6,Cat_code,0))</f>
        <v>вилы</v>
      </c>
      <c r="G27" s="52" t="str">
        <f aca="false">INDEX(Cat_handling,MATCH(G$6,Cat_code,0))</f>
        <v>вилы</v>
      </c>
      <c r="H27" s="52" t="str">
        <f aca="false">INDEX(Cat_handling,MATCH(H$6,Cat_code,0))</f>
        <v>платформа</v>
      </c>
    </row>
    <row r="28" customFormat="false" ht="22.35" hidden="false" customHeight="false" outlineLevel="0" collapsed="false">
      <c r="A28" s="18" t="s">
        <v>552</v>
      </c>
      <c r="B28" s="15" t="s">
        <v>553</v>
      </c>
      <c r="C28" s="15" t="s">
        <v>390</v>
      </c>
      <c r="D28" s="18" t="s">
        <v>554</v>
      </c>
      <c r="E28" s="51"/>
      <c r="F28" s="57" t="n">
        <f aca="false">INDEX(Cat_indoor,MATCH(F$6,Cat_code,0))</f>
        <v>1</v>
      </c>
      <c r="G28" s="57" t="n">
        <f aca="false">INDEX(Cat_indoor,MATCH(G$6,Cat_code,0))</f>
        <v>1</v>
      </c>
      <c r="H28" s="57" t="n">
        <f aca="false">INDEX(Cat_indoor,MATCH(H$6,Cat_code,0))</f>
        <v>1</v>
      </c>
    </row>
    <row r="29" customFormat="false" ht="22.35" hidden="false" customHeight="false" outlineLevel="0" collapsed="false">
      <c r="A29" s="18" t="s">
        <v>555</v>
      </c>
      <c r="B29" s="15" t="s">
        <v>556</v>
      </c>
      <c r="C29" s="15"/>
      <c r="D29" s="18" t="s">
        <v>557</v>
      </c>
      <c r="E29" s="51"/>
      <c r="F29" s="52" t="str">
        <f aca="false">INDEX(Cat_task,MATCH(F$6,Cat_code,0))</f>
        <v>транспорт</v>
      </c>
      <c r="G29" s="52" t="str">
        <f aca="false">INDEX(Cat_task,MATCH(G$6,Cat_code,0))</f>
        <v>транспорт</v>
      </c>
      <c r="H29" s="52" t="str">
        <f aca="false">INDEX(Cat_task,MATCH(H$6,Cat_code,0))</f>
        <v>транспорт</v>
      </c>
    </row>
    <row r="30" customFormat="false" ht="64.15" hidden="false" customHeight="false" outlineLevel="0" collapsed="false">
      <c r="A30" s="18" t="s">
        <v>558</v>
      </c>
      <c r="B30" s="53" t="s">
        <v>559</v>
      </c>
      <c r="C30" s="15" t="s">
        <v>118</v>
      </c>
      <c r="D30" s="18" t="s">
        <v>560</v>
      </c>
      <c r="E30" s="51"/>
      <c r="F30" s="56" t="n">
        <f aca="false">IF(F27="вилы",P_repl_forks,IF(F27="платформа",P_repl_platform,IF(F27="буксировка",P_repl_tow,IF(F27="кузов",P_repl_body,0))))</f>
        <v>0.8</v>
      </c>
      <c r="G30" s="56" t="n">
        <f aca="false">IF(G27="вилы",P_repl_forks,IF(G27="платформа",P_repl_platform,IF(G27="буксировка",P_repl_tow,IF(G27="кузов",P_repl_body,0))))</f>
        <v>0.8</v>
      </c>
      <c r="H30" s="56" t="n">
        <f aca="false">IF(H27="вилы",P_repl_forks,IF(H27="платформа",P_repl_platform,IF(H27="буксировка",P_repl_tow,IF(H27="кузов",P_repl_body,0))))</f>
        <v>0.6</v>
      </c>
    </row>
    <row r="31" customFormat="false" ht="22.35" hidden="false" customHeight="false" outlineLevel="0" collapsed="false">
      <c r="A31" s="18" t="s">
        <v>561</v>
      </c>
      <c r="B31" s="15" t="s">
        <v>562</v>
      </c>
      <c r="C31" s="15" t="s">
        <v>563</v>
      </c>
      <c r="D31" s="18" t="s">
        <v>564</v>
      </c>
      <c r="E31" s="51"/>
      <c r="F31" s="57" t="n">
        <f aca="false">INDEX(Cat_wid,MATCH(F$6,Cat_code,0))</f>
        <v>1000</v>
      </c>
      <c r="G31" s="57" t="n">
        <f aca="false">INDEX(Cat_wid,MATCH(G$6,Cat_code,0))</f>
        <v>1000</v>
      </c>
      <c r="H31" s="57" t="n">
        <f aca="false">INDEX(Cat_wid,MATCH(H$6,Cat_code,0))</f>
        <v>654</v>
      </c>
    </row>
    <row r="32" customFormat="false" ht="22.35" hidden="false" customHeight="false" outlineLevel="0" collapsed="false">
      <c r="A32" s="18" t="s">
        <v>565</v>
      </c>
      <c r="B32" s="15" t="s">
        <v>566</v>
      </c>
      <c r="C32" s="15" t="s">
        <v>133</v>
      </c>
      <c r="D32" s="18" t="s">
        <v>567</v>
      </c>
      <c r="E32" s="51"/>
      <c r="F32" s="57" t="n">
        <f aca="false">INDEX(Cat_tmin,MATCH(F$6,Cat_code,0))</f>
        <v>5</v>
      </c>
      <c r="G32" s="57" t="n">
        <f aca="false">INDEX(Cat_tmin,MATCH(G$6,Cat_code,0))</f>
        <v>5</v>
      </c>
      <c r="H32" s="57" t="n">
        <f aca="false">INDEX(Cat_tmin,MATCH(H$6,Cat_code,0))</f>
        <v>5</v>
      </c>
    </row>
    <row r="33" customFormat="false" ht="22.35" hidden="false" customHeight="false" outlineLevel="0" collapsed="false">
      <c r="A33" s="18" t="s">
        <v>568</v>
      </c>
      <c r="B33" s="15" t="s">
        <v>569</v>
      </c>
      <c r="C33" s="15" t="s">
        <v>390</v>
      </c>
      <c r="D33" s="18" t="s">
        <v>570</v>
      </c>
      <c r="E33" s="51"/>
      <c r="F33" s="57" t="n">
        <f aca="false">INDEX(Cat_outdoor,MATCH(F$6,Cat_code,0))</f>
        <v>0</v>
      </c>
      <c r="G33" s="57" t="n">
        <f aca="false">INDEX(Cat_outdoor,MATCH(G$6,Cat_code,0))</f>
        <v>0</v>
      </c>
      <c r="H33" s="57" t="n">
        <f aca="false">INDEX(Cat_outdoor,MATCH(H$6,Cat_code,0))</f>
        <v>0</v>
      </c>
    </row>
    <row r="34" customFormat="false" ht="22.35" hidden="false" customHeight="false" outlineLevel="0" collapsed="false">
      <c r="A34" s="18" t="s">
        <v>571</v>
      </c>
      <c r="B34" s="15" t="s">
        <v>572</v>
      </c>
      <c r="C34" s="15" t="s">
        <v>102</v>
      </c>
      <c r="D34" s="18" t="s">
        <v>573</v>
      </c>
      <c r="E34" s="51"/>
      <c r="F34" s="58" t="n">
        <f aca="false">INDEX(Cat_auton,MATCH(F$6,Cat_code,0))</f>
        <v>10</v>
      </c>
      <c r="G34" s="58" t="n">
        <f aca="false">INDEX(Cat_auton,MATCH(G$6,Cat_code,0))</f>
        <v>10</v>
      </c>
      <c r="H34" s="58" t="n">
        <f aca="false">INDEX(Cat_auton,MATCH(H$6,Cat_code,0))</f>
        <v>6</v>
      </c>
    </row>
    <row r="35" customFormat="false" ht="22.35" hidden="false" customHeight="false" outlineLevel="0" collapsed="false">
      <c r="A35" s="18" t="s">
        <v>574</v>
      </c>
      <c r="B35" s="15" t="s">
        <v>575</v>
      </c>
      <c r="C35" s="15" t="s">
        <v>576</v>
      </c>
      <c r="D35" s="18" t="s">
        <v>577</v>
      </c>
      <c r="E35" s="51"/>
      <c r="F35" s="57" t="n">
        <f aca="false">INDEX(Cat_charge,MATCH(F$6,Cat_code,0))</f>
        <v>90</v>
      </c>
      <c r="G35" s="57" t="n">
        <f aca="false">INDEX(Cat_charge,MATCH(G$6,Cat_code,0))</f>
        <v>90</v>
      </c>
      <c r="H35" s="57" t="n">
        <f aca="false">INDEX(Cat_charge,MATCH(H$6,Cat_code,0))</f>
        <v>18</v>
      </c>
    </row>
    <row r="36" customFormat="false" ht="15" hidden="false" customHeight="false" outlineLevel="0" collapsed="false">
      <c r="A36" s="49"/>
      <c r="B36" s="50" t="s">
        <v>578</v>
      </c>
      <c r="C36" s="49"/>
      <c r="D36" s="49"/>
      <c r="E36" s="49"/>
      <c r="F36" s="49"/>
      <c r="G36" s="49"/>
      <c r="H36" s="49"/>
    </row>
    <row r="37" customFormat="false" ht="22.35" hidden="false" customHeight="false" outlineLevel="0" collapsed="false">
      <c r="A37" s="18" t="s">
        <v>579</v>
      </c>
      <c r="B37" s="15" t="s">
        <v>580</v>
      </c>
      <c r="C37" s="15"/>
      <c r="D37" s="18" t="s">
        <v>581</v>
      </c>
      <c r="E37" s="51"/>
      <c r="F37" s="52" t="str">
        <f aca="false">IF(F29=P_task_class,"ОК","НЕТ")</f>
        <v>ОК</v>
      </c>
      <c r="G37" s="52" t="str">
        <f aca="false">IF(G29=P_task_class,"ОК","НЕТ")</f>
        <v>ОК</v>
      </c>
      <c r="H37" s="52" t="str">
        <f aca="false">IF(H29=P_task_class,"ОК","НЕТ")</f>
        <v>ОК</v>
      </c>
    </row>
    <row r="38" customFormat="false" ht="32.8" hidden="false" customHeight="false" outlineLevel="0" collapsed="false">
      <c r="A38" s="18" t="s">
        <v>582</v>
      </c>
      <c r="B38" s="15" t="s">
        <v>583</v>
      </c>
      <c r="C38" s="15"/>
      <c r="D38" s="18" t="s">
        <v>584</v>
      </c>
      <c r="E38" s="51"/>
      <c r="F38" s="52" t="str">
        <f aca="false">IF(ISNUMBER(SEARCH(F27,P_handling_req)),"ОК","НЕТ")</f>
        <v>ОК</v>
      </c>
      <c r="G38" s="52" t="str">
        <f aca="false">IF(ISNUMBER(SEARCH(G27,P_handling_req)),"ОК","НЕТ")</f>
        <v>ОК</v>
      </c>
      <c r="H38" s="52" t="str">
        <f aca="false">IF(ISNUMBER(SEARCH(H27,P_handling_req)),"ОК","НЕТ")</f>
        <v>ОК</v>
      </c>
    </row>
    <row r="39" customFormat="false" ht="22.35" hidden="false" customHeight="false" outlineLevel="0" collapsed="false">
      <c r="A39" s="18" t="s">
        <v>585</v>
      </c>
      <c r="B39" s="15" t="s">
        <v>553</v>
      </c>
      <c r="C39" s="15"/>
      <c r="D39" s="18" t="s">
        <v>586</v>
      </c>
      <c r="E39" s="51"/>
      <c r="F39" s="52" t="str">
        <f aca="false">IF(AND(P_indoor_req=1,F28=0),"НЕТ","ОК")</f>
        <v>ОК</v>
      </c>
      <c r="G39" s="52" t="str">
        <f aca="false">IF(AND(P_indoor_req=1,G28=0),"НЕТ","ОК")</f>
        <v>ОК</v>
      </c>
      <c r="H39" s="52" t="str">
        <f aca="false">IF(AND(P_indoor_req=1,H28=0),"НЕТ","ОК")</f>
        <v>ОК</v>
      </c>
    </row>
    <row r="40" customFormat="false" ht="32.8" hidden="false" customHeight="false" outlineLevel="0" collapsed="false">
      <c r="A40" s="18" t="s">
        <v>587</v>
      </c>
      <c r="B40" s="15" t="s">
        <v>588</v>
      </c>
      <c r="C40" s="15"/>
      <c r="D40" s="18" t="s">
        <v>589</v>
      </c>
      <c r="E40" s="51"/>
      <c r="F40" s="52" t="str">
        <f aca="false">IF(AND(P_divisible=0,F22&lt;P_unit_mass),"НЕТ","ОК")</f>
        <v>ОК</v>
      </c>
      <c r="G40" s="52" t="str">
        <f aca="false">IF(AND(P_divisible=0,G22&lt;P_unit_mass),"НЕТ","ОК")</f>
        <v>ОК</v>
      </c>
      <c r="H40" s="52" t="str">
        <f aca="false">IF(AND(P_divisible=0,H22&lt;P_unit_mass),"НЕТ","ОК")</f>
        <v>ОК</v>
      </c>
    </row>
    <row r="41" customFormat="false" ht="32.8" hidden="false" customHeight="false" outlineLevel="0" collapsed="false">
      <c r="A41" s="18" t="s">
        <v>590</v>
      </c>
      <c r="B41" s="15" t="s">
        <v>591</v>
      </c>
      <c r="C41" s="15"/>
      <c r="D41" s="18" t="s">
        <v>592</v>
      </c>
      <c r="E41" s="51"/>
      <c r="F41" s="52" t="str">
        <f aca="false">IF(F31/1000+P_clearance&lt;=P_aisle,"ОК","НЕТ")</f>
        <v>ОК</v>
      </c>
      <c r="G41" s="52" t="str">
        <f aca="false">IF(G31/1000+P_clearance&lt;=P_aisle,"ОК","НЕТ")</f>
        <v>ОК</v>
      </c>
      <c r="H41" s="52" t="str">
        <f aca="false">IF(H31/1000+P_clearance&lt;=P_aisle,"ОК","НЕТ")</f>
        <v>ОК</v>
      </c>
    </row>
    <row r="42" customFormat="false" ht="43.25" hidden="false" customHeight="false" outlineLevel="0" collapsed="false">
      <c r="A42" s="18" t="s">
        <v>593</v>
      </c>
      <c r="B42" s="15" t="s">
        <v>594</v>
      </c>
      <c r="C42" s="15"/>
      <c r="D42" s="18" t="s">
        <v>595</v>
      </c>
      <c r="E42" s="51"/>
      <c r="F42" s="52" t="str">
        <f aca="false">IF(P_outdoor_req=1,IF(AND(F33=1,F32&lt;=P_temp_min),"ОК","НЕТ"),"ОК")</f>
        <v>ОК</v>
      </c>
      <c r="G42" s="52" t="str">
        <f aca="false">IF(P_outdoor_req=1,IF(AND(G33=1,G32&lt;=P_temp_min),"ОК","НЕТ"),"ОК")</f>
        <v>ОК</v>
      </c>
      <c r="H42" s="52" t="str">
        <f aca="false">IF(P_outdoor_req=1,IF(AND(H33=1,H32&lt;=P_temp_min),"ОК","НЕТ"),"ОК")</f>
        <v>ОК</v>
      </c>
    </row>
    <row r="43" customFormat="false" ht="64.15" hidden="false" customHeight="false" outlineLevel="0" collapsed="false">
      <c r="A43" s="18" t="s">
        <v>596</v>
      </c>
      <c r="B43" s="53" t="s">
        <v>597</v>
      </c>
      <c r="C43" s="15" t="s">
        <v>390</v>
      </c>
      <c r="D43" s="18" t="s">
        <v>598</v>
      </c>
      <c r="E43" s="51"/>
      <c r="F43" s="55" t="n">
        <f aca="false">IF(AND(F37="ОК",F38="ОК",F39="ОК",F40="ОК",F41="ОК",F42="ОК"),1,0)</f>
        <v>1</v>
      </c>
      <c r="G43" s="55" t="n">
        <f aca="false">IF(AND(G37="ОК",G38="ОК",G39="ОК",G40="ОК",G41="ОК",G42="ОК"),1,0)</f>
        <v>1</v>
      </c>
      <c r="H43" s="55" t="n">
        <f aca="false">IF(AND(H37="ОК",H38="ОК",H39="ОК",H40="ОК",H41="ОК",H42="ОК"),1,0)</f>
        <v>1</v>
      </c>
    </row>
    <row r="44" customFormat="false" ht="158.2" hidden="false" customHeight="false" outlineLevel="0" collapsed="false">
      <c r="A44" s="18" t="s">
        <v>599</v>
      </c>
      <c r="B44" s="53" t="s">
        <v>600</v>
      </c>
      <c r="C44" s="15"/>
      <c r="D44" s="18" t="s">
        <v>601</v>
      </c>
      <c r="E44" s="51"/>
      <c r="F44" s="38" t="str">
        <f aca="false">IF(F43=1,"Применимо: ключевые ограничения выполнены","Не применимо: "&amp;IF(F37="НЕТ","класс задачи; ","")&amp;IF(F38="НЕТ","способ обработки груза; ","")&amp;IF(F39="НЕТ","не допущен в помещения; ","")&amp;IF(F40="НЕТ","грузоподъёмность; ","")&amp;IF(F41="НЕТ","габариты/проход; ","")&amp;IF(F42="НЕТ","условия эксплуатации; ",""))</f>
        <v>Применимо: ключевые ограничения выполнены</v>
      </c>
      <c r="G44" s="38" t="str">
        <f aca="false">IF(G43=1,"Применимо: ключевые ограничения выполнены","Не применимо: "&amp;IF(G37="НЕТ","класс задачи; ","")&amp;IF(G38="НЕТ","способ обработки груза; ","")&amp;IF(G39="НЕТ","не допущен в помещения; ","")&amp;IF(G40="НЕТ","грузоподъёмность; ","")&amp;IF(G41="НЕТ","габариты/проход; ","")&amp;IF(G42="НЕТ","условия эксплуатации; ",""))</f>
        <v>Применимо: ключевые ограничения выполнены</v>
      </c>
      <c r="H44" s="38" t="str">
        <f aca="false">IF(H43=1,"Применимо: ключевые ограничения выполнены","Не применимо: "&amp;IF(H37="НЕТ","класс задачи; ","")&amp;IF(H38="НЕТ","способ обработки груза; ","")&amp;IF(H39="НЕТ","не допущен в помещения; ","")&amp;IF(H40="НЕТ","грузоподъёмность; ","")&amp;IF(H41="НЕТ","габариты/проход; ","")&amp;IF(H42="НЕТ","условия эксплуатации; ",""))</f>
        <v>Применимо: ключевые ограничения выполнены</v>
      </c>
    </row>
    <row r="45" customFormat="false" ht="15" hidden="false" customHeight="false" outlineLevel="0" collapsed="false">
      <c r="A45" s="18" t="s">
        <v>602</v>
      </c>
      <c r="B45" s="53" t="s">
        <v>603</v>
      </c>
      <c r="C45" s="15" t="s">
        <v>390</v>
      </c>
      <c r="D45" s="18" t="s">
        <v>604</v>
      </c>
      <c r="E45" s="51"/>
      <c r="F45" s="55" t="n">
        <f aca="false">IF(F$7="Покупка",1,0)</f>
        <v>1</v>
      </c>
      <c r="G45" s="55" t="n">
        <f aca="false">IF(G$7="Покупка",1,0)</f>
        <v>0</v>
      </c>
      <c r="H45" s="55" t="n">
        <f aca="false">IF(H$7="Покупка",1,0)</f>
        <v>1</v>
      </c>
    </row>
    <row r="47" customFormat="false" ht="18" hidden="false" customHeight="true" outlineLevel="0" collapsed="false">
      <c r="A47" s="44" t="s">
        <v>605</v>
      </c>
      <c r="B47" s="44"/>
      <c r="C47" s="44"/>
      <c r="D47" s="44"/>
      <c r="E47" s="44"/>
      <c r="F47" s="44"/>
      <c r="G47" s="44"/>
      <c r="H47" s="44"/>
      <c r="I47" s="44"/>
    </row>
    <row r="48" customFormat="false" ht="48" hidden="false" customHeight="true" outlineLevel="0" collapsed="false">
      <c r="B48" s="59" t="s">
        <v>606</v>
      </c>
      <c r="C48" s="59"/>
      <c r="D48" s="59"/>
      <c r="E48" s="59"/>
      <c r="F48" s="59"/>
      <c r="G48" s="59"/>
      <c r="H48" s="59"/>
    </row>
  </sheetData>
  <mergeCells count="1">
    <mergeCell ref="B48:H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58"/>
    <col collapsed="false" customWidth="true" hidden="false" outlineLevel="0" max="3" min="3" style="0" width="11"/>
    <col collapsed="false" customWidth="true" hidden="false" outlineLevel="0" max="4" min="4" style="0" width="24"/>
    <col collapsed="false" customWidth="true" hidden="false" outlineLevel="0" max="5" min="5" style="0" width="30"/>
    <col collapsed="false" customWidth="true" hidden="false" outlineLevel="0" max="10" min="6" style="0" width="19"/>
  </cols>
  <sheetData>
    <row r="1" customFormat="false" ht="17.35" hidden="false" customHeight="false" outlineLevel="0" collapsed="false">
      <c r="A1" s="1" t="s">
        <v>607</v>
      </c>
    </row>
    <row r="2" customFormat="false" ht="15" hidden="false" customHeight="false" outlineLevel="0" collapsed="false">
      <c r="A2" s="2" t="s">
        <v>608</v>
      </c>
    </row>
    <row r="4" customFormat="false" ht="18" hidden="false" customHeight="true" outlineLevel="0" collapsed="false">
      <c r="A4" s="44" t="s">
        <v>492</v>
      </c>
      <c r="B4" s="44"/>
      <c r="C4" s="44"/>
      <c r="D4" s="44"/>
      <c r="E4" s="44"/>
      <c r="F4" s="44"/>
      <c r="G4" s="44"/>
      <c r="H4" s="44"/>
      <c r="I4" s="44"/>
    </row>
    <row r="5" customFormat="false" ht="31.5" hidden="false" customHeight="true" outlineLevel="0" collapsed="false">
      <c r="A5" s="5"/>
      <c r="B5" s="5" t="s">
        <v>70</v>
      </c>
      <c r="C5" s="5" t="s">
        <v>71</v>
      </c>
      <c r="D5" s="5" t="s">
        <v>493</v>
      </c>
      <c r="E5" s="5" t="s">
        <v>494</v>
      </c>
      <c r="F5" s="5" t="s">
        <v>495</v>
      </c>
      <c r="G5" s="5" t="s">
        <v>496</v>
      </c>
      <c r="H5" s="5" t="s">
        <v>497</v>
      </c>
    </row>
    <row r="6" customFormat="false" ht="15" hidden="false" customHeight="false" outlineLevel="0" collapsed="false">
      <c r="B6" s="15" t="s">
        <v>609</v>
      </c>
      <c r="C6" s="15" t="s">
        <v>373</v>
      </c>
      <c r="D6" s="13" t="s">
        <v>380</v>
      </c>
      <c r="E6" s="18" t="s">
        <v>610</v>
      </c>
      <c r="F6" s="60" t="n">
        <f aca="false">P_ops_day</f>
        <v>2000</v>
      </c>
      <c r="G6" s="60" t="n">
        <f aca="false">P_ops_day</f>
        <v>2000</v>
      </c>
      <c r="H6" s="60" t="n">
        <f aca="false">P_ops_day</f>
        <v>2000</v>
      </c>
    </row>
    <row r="7" customFormat="false" ht="15" hidden="false" customHeight="false" outlineLevel="0" collapsed="false">
      <c r="B7" s="15" t="s">
        <v>383</v>
      </c>
      <c r="C7" s="15" t="s">
        <v>118</v>
      </c>
      <c r="D7" s="12" t="s">
        <v>32</v>
      </c>
      <c r="E7" s="18" t="s">
        <v>611</v>
      </c>
      <c r="F7" s="48" t="n">
        <f aca="false">P_auto_share</f>
        <v>0.95</v>
      </c>
      <c r="G7" s="48" t="n">
        <f aca="false">P_auto_share</f>
        <v>0.95</v>
      </c>
      <c r="H7" s="48" t="n">
        <f aca="false">P_auto_share</f>
        <v>0.95</v>
      </c>
    </row>
    <row r="8" customFormat="false" ht="15" hidden="false" customHeight="false" outlineLevel="0" collapsed="false">
      <c r="B8" s="15" t="s">
        <v>612</v>
      </c>
      <c r="C8" s="15" t="s">
        <v>379</v>
      </c>
      <c r="D8" s="13" t="s">
        <v>380</v>
      </c>
      <c r="E8" s="18" t="s">
        <v>613</v>
      </c>
      <c r="F8" s="47" t="n">
        <f aca="false">P_peak_ops_h</f>
        <v>136.363636363636</v>
      </c>
      <c r="G8" s="47" t="n">
        <f aca="false">P_peak_ops_h</f>
        <v>136.363636363636</v>
      </c>
      <c r="H8" s="47" t="n">
        <f aca="false">P_peak_ops_h</f>
        <v>136.363636363636</v>
      </c>
    </row>
    <row r="9" customFormat="false" ht="15" hidden="false" customHeight="false" outlineLevel="0" collapsed="false">
      <c r="B9" s="15" t="s">
        <v>614</v>
      </c>
      <c r="C9" s="15" t="s">
        <v>102</v>
      </c>
      <c r="D9" s="13" t="s">
        <v>380</v>
      </c>
      <c r="E9" s="18" t="s">
        <v>615</v>
      </c>
      <c r="F9" s="60" t="n">
        <f aca="false">P_hours_day</f>
        <v>22</v>
      </c>
      <c r="G9" s="60" t="n">
        <f aca="false">P_hours_day</f>
        <v>22</v>
      </c>
      <c r="H9" s="60" t="n">
        <f aca="false">P_hours_day</f>
        <v>22</v>
      </c>
    </row>
    <row r="10" customFormat="false" ht="15" hidden="false" customHeight="false" outlineLevel="0" collapsed="false">
      <c r="B10" s="15" t="s">
        <v>616</v>
      </c>
      <c r="C10" s="15" t="s">
        <v>115</v>
      </c>
      <c r="D10" s="13" t="s">
        <v>380</v>
      </c>
      <c r="E10" s="18" t="s">
        <v>617</v>
      </c>
      <c r="F10" s="46" t="n">
        <f aca="false">P_unit_mass</f>
        <v>800</v>
      </c>
      <c r="G10" s="46" t="n">
        <f aca="false">P_unit_mass</f>
        <v>800</v>
      </c>
      <c r="H10" s="46" t="n">
        <f aca="false">P_unit_mass</f>
        <v>800</v>
      </c>
    </row>
    <row r="11" customFormat="false" ht="15" hidden="false" customHeight="false" outlineLevel="0" collapsed="false">
      <c r="B11" s="15" t="s">
        <v>618</v>
      </c>
      <c r="C11" s="15" t="s">
        <v>115</v>
      </c>
      <c r="D11" s="9" t="s">
        <v>28</v>
      </c>
      <c r="E11" s="18" t="s">
        <v>619</v>
      </c>
      <c r="F11" s="46" t="n">
        <f aca="false">3_Решение_фильтры!F22</f>
        <v>1500</v>
      </c>
      <c r="G11" s="46" t="n">
        <f aca="false">3_Решение_фильтры!G22</f>
        <v>1500</v>
      </c>
      <c r="H11" s="46" t="n">
        <f aca="false">3_Решение_фильтры!H22</f>
        <v>1500</v>
      </c>
    </row>
    <row r="13" customFormat="false" ht="18" hidden="false" customHeight="true" outlineLevel="0" collapsed="false">
      <c r="A13" s="44" t="s">
        <v>516</v>
      </c>
      <c r="B13" s="44"/>
      <c r="C13" s="44"/>
      <c r="D13" s="44"/>
      <c r="E13" s="44"/>
      <c r="F13" s="44"/>
      <c r="G13" s="44"/>
      <c r="H13" s="44"/>
      <c r="I13" s="44"/>
    </row>
    <row r="14" customFormat="false" ht="31.5" hidden="false" customHeight="true" outlineLevel="0" collapsed="false">
      <c r="A14" s="5" t="s">
        <v>517</v>
      </c>
      <c r="B14" s="5" t="s">
        <v>518</v>
      </c>
      <c r="C14" s="5" t="s">
        <v>71</v>
      </c>
      <c r="D14" s="5" t="s">
        <v>519</v>
      </c>
      <c r="E14" s="5"/>
      <c r="F14" s="5" t="s">
        <v>520</v>
      </c>
      <c r="G14" s="5" t="s">
        <v>521</v>
      </c>
      <c r="H14" s="5" t="s">
        <v>522</v>
      </c>
    </row>
    <row r="15" customFormat="false" ht="15" hidden="false" customHeight="false" outlineLevel="0" collapsed="false">
      <c r="A15" s="18" t="s">
        <v>620</v>
      </c>
      <c r="B15" s="15" t="s">
        <v>621</v>
      </c>
      <c r="C15" s="15" t="s">
        <v>373</v>
      </c>
      <c r="D15" s="18" t="s">
        <v>622</v>
      </c>
      <c r="E15" s="51"/>
      <c r="F15" s="58" t="n">
        <f aca="false">P_ops_day*P_auto_share</f>
        <v>1900</v>
      </c>
      <c r="G15" s="58" t="n">
        <f aca="false">P_ops_day*P_auto_share</f>
        <v>1900</v>
      </c>
      <c r="H15" s="58" t="n">
        <f aca="false">P_ops_day*P_auto_share</f>
        <v>1900</v>
      </c>
    </row>
    <row r="16" customFormat="false" ht="32.8" hidden="false" customHeight="false" outlineLevel="0" collapsed="false">
      <c r="A16" s="18" t="s">
        <v>623</v>
      </c>
      <c r="B16" s="53" t="s">
        <v>624</v>
      </c>
      <c r="C16" s="15" t="s">
        <v>625</v>
      </c>
      <c r="D16" s="18" t="s">
        <v>626</v>
      </c>
      <c r="E16" s="51"/>
      <c r="F16" s="55" t="n">
        <f aca="false">IF(P_divisible=1,ROUNDUP(P_unit_mass/MAX(3_Решение_фильтры!F22,1),0),1)</f>
        <v>1</v>
      </c>
      <c r="G16" s="55" t="n">
        <f aca="false">IF(P_divisible=1,ROUNDUP(P_unit_mass/MAX(3_Решение_фильтры!G22,1),0),1)</f>
        <v>1</v>
      </c>
      <c r="H16" s="55" t="n">
        <f aca="false">IF(P_divisible=1,ROUNDUP(P_unit_mass/MAX(3_Решение_фильтры!H22,1),0),1)</f>
        <v>1</v>
      </c>
    </row>
    <row r="17" customFormat="false" ht="15" hidden="false" customHeight="false" outlineLevel="0" collapsed="false">
      <c r="A17" s="18" t="s">
        <v>627</v>
      </c>
      <c r="B17" s="53" t="s">
        <v>628</v>
      </c>
      <c r="C17" s="15" t="s">
        <v>379</v>
      </c>
      <c r="D17" s="18" t="s">
        <v>629</v>
      </c>
      <c r="E17" s="51"/>
      <c r="F17" s="56" t="n">
        <f aca="false">F15/P_hours_day</f>
        <v>86.3636363636364</v>
      </c>
      <c r="G17" s="56" t="n">
        <f aca="false">G15/P_hours_day</f>
        <v>86.3636363636364</v>
      </c>
      <c r="H17" s="56" t="n">
        <f aca="false">H15/P_hours_day</f>
        <v>86.3636363636364</v>
      </c>
    </row>
    <row r="18" customFormat="false" ht="15" hidden="false" customHeight="false" outlineLevel="0" collapsed="false">
      <c r="A18" s="18" t="s">
        <v>630</v>
      </c>
      <c r="B18" s="15" t="s">
        <v>631</v>
      </c>
      <c r="C18" s="15" t="s">
        <v>379</v>
      </c>
      <c r="D18" s="18" t="s">
        <v>632</v>
      </c>
      <c r="E18" s="51"/>
      <c r="F18" s="61" t="n">
        <f aca="false">P_peak_ops_h*P_auto_share</f>
        <v>129.545454545455</v>
      </c>
      <c r="G18" s="61" t="n">
        <f aca="false">P_peak_ops_h*P_auto_share</f>
        <v>129.545454545455</v>
      </c>
      <c r="H18" s="61" t="n">
        <f aca="false">P_peak_ops_h*P_auto_share</f>
        <v>129.545454545455</v>
      </c>
    </row>
    <row r="19" customFormat="false" ht="15" hidden="false" customHeight="false" outlineLevel="0" collapsed="false">
      <c r="A19" s="18" t="s">
        <v>633</v>
      </c>
      <c r="B19" s="53" t="s">
        <v>634</v>
      </c>
      <c r="C19" s="15" t="s">
        <v>125</v>
      </c>
      <c r="D19" s="18" t="s">
        <v>635</v>
      </c>
      <c r="E19" s="51"/>
      <c r="F19" s="56" t="n">
        <f aca="false">F18*F16</f>
        <v>129.545454545455</v>
      </c>
      <c r="G19" s="56" t="n">
        <f aca="false">G18*G16</f>
        <v>129.545454545455</v>
      </c>
      <c r="H19" s="56" t="n">
        <f aca="false">H18*H16</f>
        <v>129.545454545455</v>
      </c>
    </row>
    <row r="20" customFormat="false" ht="15" hidden="false" customHeight="false" outlineLevel="0" collapsed="false">
      <c r="A20" s="18" t="s">
        <v>636</v>
      </c>
      <c r="B20" s="53" t="s">
        <v>637</v>
      </c>
      <c r="C20" s="15" t="s">
        <v>122</v>
      </c>
      <c r="D20" s="18" t="s">
        <v>638</v>
      </c>
      <c r="E20" s="51"/>
      <c r="F20" s="62" t="n">
        <f aca="false">F15*F16</f>
        <v>1900</v>
      </c>
      <c r="G20" s="62" t="n">
        <f aca="false">G15*G16</f>
        <v>1900</v>
      </c>
      <c r="H20" s="62" t="n">
        <f aca="false">H15*H16</f>
        <v>1900</v>
      </c>
    </row>
    <row r="22" customFormat="false" ht="18" hidden="false" customHeight="true" outlineLevel="0" collapsed="false">
      <c r="A22" s="44" t="s">
        <v>605</v>
      </c>
      <c r="B22" s="44"/>
      <c r="C22" s="44"/>
      <c r="D22" s="44"/>
      <c r="E22" s="44"/>
      <c r="F22" s="44"/>
      <c r="G22" s="44"/>
      <c r="H22" s="44"/>
      <c r="I22" s="44"/>
    </row>
    <row r="23" customFormat="false" ht="48" hidden="false" customHeight="true" outlineLevel="0" collapsed="false">
      <c r="B23" s="59" t="s">
        <v>639</v>
      </c>
      <c r="C23" s="59"/>
      <c r="D23" s="59"/>
      <c r="E23" s="59"/>
      <c r="F23" s="59"/>
      <c r="G23" s="59"/>
      <c r="H23" s="59"/>
    </row>
  </sheetData>
  <mergeCells count="1">
    <mergeCell ref="B23:H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58"/>
    <col collapsed="false" customWidth="true" hidden="false" outlineLevel="0" max="3" min="3" style="0" width="11"/>
    <col collapsed="false" customWidth="true" hidden="false" outlineLevel="0" max="4" min="4" style="0" width="24"/>
    <col collapsed="false" customWidth="true" hidden="false" outlineLevel="0" max="5" min="5" style="0" width="30"/>
    <col collapsed="false" customWidth="true" hidden="false" outlineLevel="0" max="10" min="6" style="0" width="19"/>
  </cols>
  <sheetData>
    <row r="1" customFormat="false" ht="17.35" hidden="false" customHeight="false" outlineLevel="0" collapsed="false">
      <c r="A1" s="1" t="s">
        <v>640</v>
      </c>
    </row>
    <row r="2" customFormat="false" ht="15" hidden="false" customHeight="false" outlineLevel="0" collapsed="false">
      <c r="A2" s="2" t="s">
        <v>641</v>
      </c>
    </row>
    <row r="4" customFormat="false" ht="18" hidden="false" customHeight="true" outlineLevel="0" collapsed="false">
      <c r="A4" s="44" t="s">
        <v>492</v>
      </c>
      <c r="B4" s="44"/>
      <c r="C4" s="44"/>
      <c r="D4" s="44"/>
      <c r="E4" s="44"/>
      <c r="F4" s="44"/>
      <c r="G4" s="44"/>
      <c r="H4" s="44"/>
      <c r="I4" s="44"/>
    </row>
    <row r="5" customFormat="false" ht="31.5" hidden="false" customHeight="true" outlineLevel="0" collapsed="false">
      <c r="A5" s="5"/>
      <c r="B5" s="5" t="s">
        <v>70</v>
      </c>
      <c r="C5" s="5" t="s">
        <v>71</v>
      </c>
      <c r="D5" s="5" t="s">
        <v>493</v>
      </c>
      <c r="E5" s="5" t="s">
        <v>494</v>
      </c>
      <c r="F5" s="5" t="s">
        <v>495</v>
      </c>
      <c r="G5" s="5" t="s">
        <v>496</v>
      </c>
      <c r="H5" s="5" t="s">
        <v>497</v>
      </c>
    </row>
    <row r="6" customFormat="false" ht="22.35" hidden="false" customHeight="false" outlineLevel="0" collapsed="false">
      <c r="B6" s="15" t="s">
        <v>642</v>
      </c>
      <c r="C6" s="15" t="s">
        <v>84</v>
      </c>
      <c r="D6" s="12" t="s">
        <v>32</v>
      </c>
      <c r="E6" s="18" t="s">
        <v>643</v>
      </c>
      <c r="F6" s="46" t="n">
        <f aca="false">P_L</f>
        <v>100</v>
      </c>
      <c r="G6" s="46" t="n">
        <f aca="false">P_L</f>
        <v>100</v>
      </c>
      <c r="H6" s="46" t="n">
        <f aca="false">P_L</f>
        <v>100</v>
      </c>
    </row>
    <row r="7" customFormat="false" ht="15" hidden="false" customHeight="false" outlineLevel="0" collapsed="false">
      <c r="B7" s="15" t="s">
        <v>644</v>
      </c>
      <c r="C7" s="15" t="s">
        <v>397</v>
      </c>
      <c r="D7" s="12" t="s">
        <v>32</v>
      </c>
      <c r="E7" s="18" t="s">
        <v>645</v>
      </c>
      <c r="F7" s="47" t="n">
        <f aca="false">P_speed_cap</f>
        <v>1.5</v>
      </c>
      <c r="G7" s="47" t="n">
        <f aca="false">P_speed_cap</f>
        <v>1.5</v>
      </c>
      <c r="H7" s="47" t="n">
        <f aca="false">P_speed_cap</f>
        <v>1.5</v>
      </c>
    </row>
    <row r="8" customFormat="false" ht="15" hidden="false" customHeight="false" outlineLevel="0" collapsed="false">
      <c r="B8" s="15" t="s">
        <v>646</v>
      </c>
      <c r="C8" s="15" t="s">
        <v>397</v>
      </c>
      <c r="D8" s="9" t="s">
        <v>28</v>
      </c>
      <c r="E8" s="18" t="s">
        <v>647</v>
      </c>
      <c r="F8" s="47" t="n">
        <f aca="false">3_Решение_фильтры!F23</f>
        <v>1.5</v>
      </c>
      <c r="G8" s="47" t="n">
        <f aca="false">3_Решение_фильтры!G23</f>
        <v>1.5</v>
      </c>
      <c r="H8" s="47" t="n">
        <f aca="false">3_Решение_фильтры!H23</f>
        <v>1.5</v>
      </c>
    </row>
    <row r="9" customFormat="false" ht="15" hidden="false" customHeight="false" outlineLevel="0" collapsed="false">
      <c r="B9" s="15" t="s">
        <v>648</v>
      </c>
      <c r="C9" s="15" t="s">
        <v>404</v>
      </c>
      <c r="D9" s="12" t="s">
        <v>32</v>
      </c>
      <c r="E9" s="18" t="s">
        <v>649</v>
      </c>
      <c r="F9" s="46" t="n">
        <f aca="false">3_Решение_фильтры!F24</f>
        <v>60</v>
      </c>
      <c r="G9" s="46" t="n">
        <f aca="false">3_Решение_фильтры!G24</f>
        <v>60</v>
      </c>
      <c r="H9" s="46" t="n">
        <f aca="false">3_Решение_фильтры!H24</f>
        <v>30</v>
      </c>
    </row>
    <row r="10" customFormat="false" ht="15" hidden="false" customHeight="false" outlineLevel="0" collapsed="false">
      <c r="B10" s="15" t="s">
        <v>650</v>
      </c>
      <c r="C10" s="15"/>
      <c r="D10" s="12" t="s">
        <v>32</v>
      </c>
      <c r="E10" s="18" t="s">
        <v>651</v>
      </c>
      <c r="F10" s="48" t="n">
        <f aca="false">P_lift_share</f>
        <v>0</v>
      </c>
      <c r="G10" s="48" t="n">
        <f aca="false">P_lift_share</f>
        <v>0</v>
      </c>
      <c r="H10" s="48" t="n">
        <f aca="false">P_lift_share</f>
        <v>0</v>
      </c>
    </row>
    <row r="11" customFormat="false" ht="32.8" hidden="false" customHeight="false" outlineLevel="0" collapsed="false">
      <c r="B11" s="15" t="s">
        <v>652</v>
      </c>
      <c r="C11" s="15"/>
      <c r="D11" s="11" t="s">
        <v>30</v>
      </c>
      <c r="E11" s="18" t="s">
        <v>653</v>
      </c>
      <c r="F11" s="48" t="n">
        <f aca="false">N_util</f>
        <v>0.8</v>
      </c>
      <c r="G11" s="48" t="n">
        <f aca="false">N_util</f>
        <v>0.8</v>
      </c>
      <c r="H11" s="48" t="n">
        <f aca="false">N_util</f>
        <v>0.8</v>
      </c>
    </row>
    <row r="12" customFormat="false" ht="15" hidden="false" customHeight="false" outlineLevel="0" collapsed="false">
      <c r="B12" s="15" t="s">
        <v>654</v>
      </c>
      <c r="C12" s="15" t="s">
        <v>125</v>
      </c>
      <c r="D12" s="13" t="s">
        <v>655</v>
      </c>
      <c r="E12" s="18" t="s">
        <v>656</v>
      </c>
      <c r="F12" s="47" t="n">
        <f aca="false">4_Потребность!F19</f>
        <v>129.545454545455</v>
      </c>
      <c r="G12" s="47" t="n">
        <f aca="false">4_Потребность!G19</f>
        <v>129.545454545455</v>
      </c>
      <c r="H12" s="47" t="n">
        <f aca="false">4_Потребность!H19</f>
        <v>129.545454545455</v>
      </c>
    </row>
    <row r="13" customFormat="false" ht="22.35" hidden="false" customHeight="false" outlineLevel="0" collapsed="false">
      <c r="B13" s="15" t="s">
        <v>657</v>
      </c>
      <c r="C13" s="15"/>
      <c r="D13" s="12" t="s">
        <v>32</v>
      </c>
      <c r="E13" s="18" t="s">
        <v>658</v>
      </c>
      <c r="F13" s="46" t="n">
        <f aca="false">N_charger_ratio</f>
        <v>4</v>
      </c>
      <c r="G13" s="46" t="n">
        <f aca="false">N_charger_ratio</f>
        <v>4</v>
      </c>
      <c r="H13" s="46" t="n">
        <f aca="false">N_charger_ratio</f>
        <v>4</v>
      </c>
    </row>
    <row r="15" customFormat="false" ht="18" hidden="false" customHeight="true" outlineLevel="0" collapsed="false">
      <c r="A15" s="44" t="s">
        <v>516</v>
      </c>
      <c r="B15" s="44"/>
      <c r="C15" s="44"/>
      <c r="D15" s="44"/>
      <c r="E15" s="44"/>
      <c r="F15" s="44"/>
      <c r="G15" s="44"/>
      <c r="H15" s="44"/>
      <c r="I15" s="44"/>
    </row>
    <row r="16" customFormat="false" ht="31.5" hidden="false" customHeight="true" outlineLevel="0" collapsed="false">
      <c r="A16" s="5" t="s">
        <v>517</v>
      </c>
      <c r="B16" s="5" t="s">
        <v>518</v>
      </c>
      <c r="C16" s="5" t="s">
        <v>71</v>
      </c>
      <c r="D16" s="5" t="s">
        <v>519</v>
      </c>
      <c r="E16" s="5"/>
      <c r="F16" s="5" t="s">
        <v>520</v>
      </c>
      <c r="G16" s="5" t="s">
        <v>521</v>
      </c>
      <c r="H16" s="5" t="s">
        <v>522</v>
      </c>
    </row>
    <row r="17" customFormat="false" ht="22.35" hidden="false" customHeight="false" outlineLevel="0" collapsed="false">
      <c r="A17" s="18" t="s">
        <v>659</v>
      </c>
      <c r="B17" s="53" t="s">
        <v>660</v>
      </c>
      <c r="C17" s="15" t="s">
        <v>397</v>
      </c>
      <c r="D17" s="18" t="s">
        <v>661</v>
      </c>
      <c r="E17" s="51"/>
      <c r="F17" s="56" t="n">
        <f aca="false">MIN(3_Решение_фильтры!F23,P_speed_cap)*N_kv</f>
        <v>0.9</v>
      </c>
      <c r="G17" s="56" t="n">
        <f aca="false">MIN(3_Решение_фильтры!G23,P_speed_cap)*N_kv</f>
        <v>0.9</v>
      </c>
      <c r="H17" s="56" t="n">
        <f aca="false">MIN(3_Решение_фильтры!H23,P_speed_cap)*N_kv</f>
        <v>0.9</v>
      </c>
    </row>
    <row r="18" customFormat="false" ht="15" hidden="false" customHeight="false" outlineLevel="0" collapsed="false">
      <c r="A18" s="18" t="s">
        <v>662</v>
      </c>
      <c r="B18" s="15" t="s">
        <v>663</v>
      </c>
      <c r="C18" s="15" t="s">
        <v>404</v>
      </c>
      <c r="D18" s="18" t="s">
        <v>664</v>
      </c>
      <c r="E18" s="51"/>
      <c r="F18" s="57" t="n">
        <f aca="false">2*P_L/F17</f>
        <v>222.222222222222</v>
      </c>
      <c r="G18" s="57" t="n">
        <f aca="false">2*P_L/G17</f>
        <v>222.222222222222</v>
      </c>
      <c r="H18" s="57" t="n">
        <f aca="false">2*P_L/H17</f>
        <v>222.222222222222</v>
      </c>
    </row>
    <row r="19" customFormat="false" ht="15" hidden="false" customHeight="false" outlineLevel="0" collapsed="false">
      <c r="A19" s="18" t="s">
        <v>665</v>
      </c>
      <c r="B19" s="15" t="s">
        <v>666</v>
      </c>
      <c r="C19" s="15" t="s">
        <v>404</v>
      </c>
      <c r="D19" s="18" t="s">
        <v>667</v>
      </c>
      <c r="E19" s="51"/>
      <c r="F19" s="57" t="n">
        <f aca="false">P_lift_share*2*P_lift_time</f>
        <v>0</v>
      </c>
      <c r="G19" s="57" t="n">
        <f aca="false">P_lift_share*2*P_lift_time</f>
        <v>0</v>
      </c>
      <c r="H19" s="57" t="n">
        <f aca="false">P_lift_share*2*P_lift_time</f>
        <v>0</v>
      </c>
    </row>
    <row r="20" customFormat="false" ht="22.35" hidden="false" customHeight="false" outlineLevel="0" collapsed="false">
      <c r="A20" s="18" t="s">
        <v>668</v>
      </c>
      <c r="B20" s="53" t="s">
        <v>669</v>
      </c>
      <c r="C20" s="15" t="s">
        <v>404</v>
      </c>
      <c r="D20" s="18" t="s">
        <v>670</v>
      </c>
      <c r="E20" s="51"/>
      <c r="F20" s="55" t="n">
        <f aca="false">F18+3_Решение_фильтры!F24+3_Решение_фильтры!F25+F19</f>
        <v>342.222222222222</v>
      </c>
      <c r="G20" s="55" t="n">
        <f aca="false">G18+3_Решение_фильтры!G24+3_Решение_фильтры!G25+G19</f>
        <v>342.222222222222</v>
      </c>
      <c r="H20" s="55" t="n">
        <f aca="false">H18+3_Решение_фильтры!H24+3_Решение_фильтры!H25+H19</f>
        <v>282.222222222222</v>
      </c>
    </row>
    <row r="21" customFormat="false" ht="15" hidden="false" customHeight="false" outlineLevel="0" collapsed="false">
      <c r="A21" s="18" t="s">
        <v>671</v>
      </c>
      <c r="B21" s="15" t="s">
        <v>672</v>
      </c>
      <c r="C21" s="15" t="s">
        <v>125</v>
      </c>
      <c r="D21" s="18" t="s">
        <v>673</v>
      </c>
      <c r="E21" s="51"/>
      <c r="F21" s="61" t="n">
        <f aca="false">3600/F20</f>
        <v>10.5194805194805</v>
      </c>
      <c r="G21" s="61" t="n">
        <f aca="false">3600/G20</f>
        <v>10.5194805194805</v>
      </c>
      <c r="H21" s="61" t="n">
        <f aca="false">3600/H20</f>
        <v>12.755905511811</v>
      </c>
    </row>
    <row r="22" customFormat="false" ht="23.85" hidden="false" customHeight="false" outlineLevel="0" collapsed="false">
      <c r="A22" s="18" t="s">
        <v>674</v>
      </c>
      <c r="B22" s="53" t="s">
        <v>675</v>
      </c>
      <c r="C22" s="15" t="s">
        <v>125</v>
      </c>
      <c r="D22" s="18" t="s">
        <v>676</v>
      </c>
      <c r="E22" s="51"/>
      <c r="F22" s="56" t="n">
        <f aca="false">F21*N_util*N_avail</f>
        <v>7.99480519480519</v>
      </c>
      <c r="G22" s="56" t="n">
        <f aca="false">G21*N_util*N_avail</f>
        <v>7.99480519480519</v>
      </c>
      <c r="H22" s="56" t="n">
        <f aca="false">H21*N_util*N_avail</f>
        <v>9.69448818897638</v>
      </c>
    </row>
    <row r="23" customFormat="false" ht="53.7" hidden="false" customHeight="false" outlineLevel="0" collapsed="false">
      <c r="A23" s="18" t="s">
        <v>677</v>
      </c>
      <c r="B23" s="53" t="s">
        <v>678</v>
      </c>
      <c r="C23" s="15" t="s">
        <v>92</v>
      </c>
      <c r="D23" s="18" t="s">
        <v>679</v>
      </c>
      <c r="E23" s="51"/>
      <c r="F23" s="55" t="n">
        <f aca="false">IF(3_Решение_фильтры!F43=1,MAX(1,ROUNDUP(4_Потребность!F19/F22*(1+N_reserve),0)),0)</f>
        <v>19</v>
      </c>
      <c r="G23" s="55" t="n">
        <f aca="false">IF(3_Решение_фильтры!G43=1,MAX(1,ROUNDUP(4_Потребность!G19/G22*(1+N_reserve),0)),0)</f>
        <v>19</v>
      </c>
      <c r="H23" s="55" t="n">
        <f aca="false">IF(3_Решение_фильтры!H43=1,MAX(1,ROUNDUP(4_Потребность!H19/H22*(1+N_reserve),0)),0)</f>
        <v>16</v>
      </c>
    </row>
    <row r="24" customFormat="false" ht="22.35" hidden="false" customHeight="false" outlineLevel="0" collapsed="false">
      <c r="A24" s="18" t="s">
        <v>680</v>
      </c>
      <c r="B24" s="53" t="s">
        <v>681</v>
      </c>
      <c r="C24" s="15" t="s">
        <v>92</v>
      </c>
      <c r="D24" s="18" t="s">
        <v>682</v>
      </c>
      <c r="E24" s="51"/>
      <c r="F24" s="55" t="n">
        <f aca="false">ROUNDUP(F23/N_charger_ratio,0)</f>
        <v>5</v>
      </c>
      <c r="G24" s="55" t="n">
        <f aca="false">ROUNDUP(G23/N_charger_ratio,0)</f>
        <v>5</v>
      </c>
      <c r="H24" s="55" t="n">
        <f aca="false">ROUNDUP(H23/N_charger_ratio,0)</f>
        <v>4</v>
      </c>
    </row>
    <row r="25" customFormat="false" ht="15" hidden="false" customHeight="false" outlineLevel="0" collapsed="false">
      <c r="A25" s="18" t="s">
        <v>683</v>
      </c>
      <c r="B25" s="15" t="s">
        <v>684</v>
      </c>
      <c r="C25" s="15" t="s">
        <v>125</v>
      </c>
      <c r="D25" s="18" t="s">
        <v>685</v>
      </c>
      <c r="E25" s="51"/>
      <c r="F25" s="61" t="n">
        <f aca="false">F23*F22</f>
        <v>151.901298701299</v>
      </c>
      <c r="G25" s="61" t="n">
        <f aca="false">G23*G22</f>
        <v>151.901298701299</v>
      </c>
      <c r="H25" s="61" t="n">
        <f aca="false">H23*H22</f>
        <v>155.111811023622</v>
      </c>
    </row>
    <row r="26" customFormat="false" ht="43.25" hidden="false" customHeight="false" outlineLevel="0" collapsed="false">
      <c r="A26" s="18" t="s">
        <v>686</v>
      </c>
      <c r="B26" s="53" t="s">
        <v>687</v>
      </c>
      <c r="C26" s="15" t="s">
        <v>688</v>
      </c>
      <c r="D26" s="18" t="s">
        <v>689</v>
      </c>
      <c r="E26" s="51"/>
      <c r="F26" s="63" t="n">
        <f aca="false">IF(F23&gt;0,4_Потребность!F17*4_Потребность!F16/(F23*F21),0)</f>
        <v>0.432098765432099</v>
      </c>
      <c r="G26" s="63" t="n">
        <f aca="false">IF(G23&gt;0,4_Потребность!G17*4_Потребность!G16/(G23*G21),0)</f>
        <v>0.432098765432099</v>
      </c>
      <c r="H26" s="63" t="n">
        <f aca="false">IF(H23&gt;0,4_Потребность!H17*4_Потребность!H16/(H23*H21),0)</f>
        <v>0.423155162738496</v>
      </c>
    </row>
    <row r="27" customFormat="false" ht="15" hidden="false" customHeight="false" outlineLevel="0" collapsed="false">
      <c r="A27" s="18" t="s">
        <v>690</v>
      </c>
      <c r="B27" s="15" t="s">
        <v>691</v>
      </c>
      <c r="C27" s="15" t="s">
        <v>180</v>
      </c>
      <c r="D27" s="18" t="s">
        <v>692</v>
      </c>
      <c r="E27" s="51"/>
      <c r="F27" s="58" t="n">
        <f aca="false">F24*N_charger_kw</f>
        <v>25</v>
      </c>
      <c r="G27" s="58" t="n">
        <f aca="false">G24*N_charger_kw</f>
        <v>25</v>
      </c>
      <c r="H27" s="58" t="n">
        <f aca="false">H24*N_charger_kw</f>
        <v>20</v>
      </c>
    </row>
    <row r="28" customFormat="false" ht="32.8" hidden="false" customHeight="false" outlineLevel="0" collapsed="false">
      <c r="A28" s="18" t="s">
        <v>693</v>
      </c>
      <c r="B28" s="15" t="s">
        <v>694</v>
      </c>
      <c r="C28" s="15"/>
      <c r="D28" s="18" t="s">
        <v>695</v>
      </c>
      <c r="E28" s="51"/>
      <c r="F28" s="52" t="str">
        <f aca="false">IF(F27&lt;=P_power_kw,"ОК","Требуется усиление сети")</f>
        <v>ОК</v>
      </c>
      <c r="G28" s="52" t="str">
        <f aca="false">IF(G27&lt;=P_power_kw,"ОК","Требуется усиление сети")</f>
        <v>ОК</v>
      </c>
      <c r="H28" s="52" t="str">
        <f aca="false">IF(H27&lt;=P_power_kw,"ОК","Требуется усиление сети")</f>
        <v>ОК</v>
      </c>
    </row>
    <row r="30" customFormat="false" ht="18" hidden="false" customHeight="true" outlineLevel="0" collapsed="false">
      <c r="A30" s="44" t="s">
        <v>605</v>
      </c>
      <c r="B30" s="44"/>
      <c r="C30" s="44"/>
      <c r="D30" s="44"/>
      <c r="E30" s="44"/>
      <c r="F30" s="44"/>
      <c r="G30" s="44"/>
      <c r="H30" s="44"/>
      <c r="I30" s="44"/>
    </row>
    <row r="31" customFormat="false" ht="48" hidden="false" customHeight="true" outlineLevel="0" collapsed="false">
      <c r="B31" s="59" t="s">
        <v>696</v>
      </c>
      <c r="C31" s="59"/>
      <c r="D31" s="59"/>
      <c r="E31" s="59"/>
      <c r="F31" s="59"/>
      <c r="G31" s="59"/>
      <c r="H31" s="59"/>
    </row>
  </sheetData>
  <mergeCells count="1">
    <mergeCell ref="B31:H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58"/>
    <col collapsed="false" customWidth="true" hidden="false" outlineLevel="0" max="3" min="3" style="0" width="11"/>
    <col collapsed="false" customWidth="true" hidden="false" outlineLevel="0" max="4" min="4" style="0" width="24"/>
    <col collapsed="false" customWidth="true" hidden="false" outlineLevel="0" max="5" min="5" style="0" width="30"/>
    <col collapsed="false" customWidth="true" hidden="false" outlineLevel="0" max="10" min="6" style="0" width="19"/>
  </cols>
  <sheetData>
    <row r="1" customFormat="false" ht="17.35" hidden="false" customHeight="false" outlineLevel="0" collapsed="false">
      <c r="A1" s="1" t="s">
        <v>697</v>
      </c>
    </row>
    <row r="2" customFormat="false" ht="15" hidden="false" customHeight="false" outlineLevel="0" collapsed="false">
      <c r="A2" s="2" t="s">
        <v>698</v>
      </c>
    </row>
    <row r="4" customFormat="false" ht="18" hidden="false" customHeight="true" outlineLevel="0" collapsed="false">
      <c r="A4" s="44" t="s">
        <v>492</v>
      </c>
      <c r="B4" s="44"/>
      <c r="C4" s="44"/>
      <c r="D4" s="44"/>
      <c r="E4" s="44"/>
      <c r="F4" s="44"/>
      <c r="G4" s="44"/>
      <c r="H4" s="44"/>
      <c r="I4" s="44"/>
    </row>
    <row r="5" customFormat="false" ht="31.5" hidden="false" customHeight="true" outlineLevel="0" collapsed="false">
      <c r="A5" s="5"/>
      <c r="B5" s="5" t="s">
        <v>70</v>
      </c>
      <c r="C5" s="5" t="s">
        <v>71</v>
      </c>
      <c r="D5" s="5" t="s">
        <v>493</v>
      </c>
      <c r="E5" s="5" t="s">
        <v>494</v>
      </c>
      <c r="F5" s="5" t="s">
        <v>699</v>
      </c>
      <c r="G5" s="5"/>
      <c r="H5" s="5"/>
    </row>
    <row r="6" customFormat="false" ht="23.85" hidden="false" customHeight="false" outlineLevel="0" collapsed="false">
      <c r="B6" s="15" t="s">
        <v>700</v>
      </c>
      <c r="C6" s="15" t="s">
        <v>701</v>
      </c>
      <c r="D6" s="9" t="s">
        <v>24</v>
      </c>
      <c r="E6" s="18" t="s">
        <v>702</v>
      </c>
      <c r="F6" s="46" t="n">
        <f aca="false">R_g1_n</f>
        <v>25</v>
      </c>
    </row>
    <row r="7" customFormat="false" ht="15" hidden="false" customHeight="false" outlineLevel="0" collapsed="false">
      <c r="B7" s="15" t="s">
        <v>703</v>
      </c>
      <c r="C7" s="15" t="s">
        <v>118</v>
      </c>
      <c r="D7" s="12" t="s">
        <v>32</v>
      </c>
      <c r="E7" s="18" t="s">
        <v>704</v>
      </c>
      <c r="F7" s="48" t="n">
        <f aca="false">P_func1</f>
        <v>1</v>
      </c>
    </row>
    <row r="8" customFormat="false" ht="15" hidden="false" customHeight="false" outlineLevel="0" collapsed="false">
      <c r="B8" s="15" t="s">
        <v>705</v>
      </c>
      <c r="C8" s="15" t="s">
        <v>106</v>
      </c>
      <c r="D8" s="11" t="s">
        <v>30</v>
      </c>
      <c r="E8" s="18" t="s">
        <v>706</v>
      </c>
      <c r="F8" s="47" t="n">
        <f aca="false">N_fot</f>
        <v>1.302</v>
      </c>
    </row>
    <row r="10" customFormat="false" ht="18" hidden="false" customHeight="true" outlineLevel="0" collapsed="false">
      <c r="A10" s="44" t="s">
        <v>516</v>
      </c>
      <c r="B10" s="44"/>
      <c r="C10" s="44"/>
      <c r="D10" s="44"/>
      <c r="E10" s="44"/>
      <c r="F10" s="44"/>
      <c r="G10" s="44"/>
      <c r="H10" s="44"/>
      <c r="I10" s="44"/>
    </row>
    <row r="11" customFormat="false" ht="31.5" hidden="false" customHeight="true" outlineLevel="0" collapsed="false">
      <c r="A11" s="5" t="s">
        <v>517</v>
      </c>
      <c r="B11" s="5" t="s">
        <v>518</v>
      </c>
      <c r="C11" s="5" t="s">
        <v>71</v>
      </c>
      <c r="D11" s="5" t="s">
        <v>519</v>
      </c>
      <c r="E11" s="5"/>
      <c r="F11" s="5" t="s">
        <v>190</v>
      </c>
    </row>
    <row r="12" customFormat="false" ht="23.85" hidden="false" customHeight="false" outlineLevel="0" collapsed="false">
      <c r="A12" s="18" t="s">
        <v>460</v>
      </c>
      <c r="B12" s="53" t="s">
        <v>707</v>
      </c>
      <c r="C12" s="15" t="s">
        <v>255</v>
      </c>
      <c r="D12" s="18" t="s">
        <v>708</v>
      </c>
      <c r="E12" s="51"/>
      <c r="F12" s="54" t="n">
        <f aca="false">P_base_labor</f>
        <v>46872000</v>
      </c>
    </row>
    <row r="13" customFormat="false" ht="15" hidden="false" customHeight="false" outlineLevel="0" collapsed="false">
      <c r="A13" s="18" t="s">
        <v>709</v>
      </c>
      <c r="B13" s="15" t="s">
        <v>710</v>
      </c>
      <c r="C13" s="15" t="s">
        <v>255</v>
      </c>
      <c r="D13" s="18" t="s">
        <v>711</v>
      </c>
      <c r="E13" s="51"/>
      <c r="F13" s="64" t="n">
        <f aca="false">0</f>
        <v>0</v>
      </c>
    </row>
    <row r="14" customFormat="false" ht="15" hidden="false" customHeight="false" outlineLevel="0" collapsed="false">
      <c r="A14" s="18" t="s">
        <v>712</v>
      </c>
      <c r="B14" s="53" t="s">
        <v>713</v>
      </c>
      <c r="C14" s="15" t="s">
        <v>255</v>
      </c>
      <c r="D14" s="18" t="s">
        <v>714</v>
      </c>
      <c r="E14" s="51"/>
      <c r="F14" s="54" t="n">
        <f aca="false">F12+F13</f>
        <v>46872000</v>
      </c>
    </row>
    <row r="15" customFormat="false" ht="15" hidden="false" customHeight="false" outlineLevel="0" collapsed="false">
      <c r="A15" s="18" t="s">
        <v>715</v>
      </c>
      <c r="B15" s="53" t="s">
        <v>716</v>
      </c>
      <c r="C15" s="15" t="s">
        <v>215</v>
      </c>
      <c r="D15" s="18" t="s">
        <v>717</v>
      </c>
      <c r="E15" s="51"/>
      <c r="F15" s="54" t="n">
        <f aca="false">F14*P_horizon</f>
        <v>234360000</v>
      </c>
    </row>
    <row r="17" customFormat="false" ht="18" hidden="false" customHeight="true" outlineLevel="0" collapsed="false">
      <c r="A17" s="44" t="s">
        <v>605</v>
      </c>
      <c r="B17" s="44"/>
      <c r="C17" s="44"/>
      <c r="D17" s="44"/>
      <c r="E17" s="44"/>
      <c r="F17" s="44"/>
      <c r="G17" s="44"/>
      <c r="H17" s="44"/>
      <c r="I17" s="44"/>
    </row>
    <row r="18" customFormat="false" ht="48" hidden="false" customHeight="true" outlineLevel="0" collapsed="false">
      <c r="B18" s="59" t="s">
        <v>718</v>
      </c>
      <c r="C18" s="59"/>
      <c r="D18" s="59"/>
      <c r="E18" s="59"/>
      <c r="F18" s="59"/>
      <c r="G18" s="59"/>
      <c r="H18" s="59"/>
    </row>
  </sheetData>
  <mergeCells count="1">
    <mergeCell ref="B18:H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58"/>
    <col collapsed="false" customWidth="true" hidden="false" outlineLevel="0" max="3" min="3" style="0" width="11"/>
    <col collapsed="false" customWidth="true" hidden="false" outlineLevel="0" max="4" min="4" style="0" width="24"/>
    <col collapsed="false" customWidth="true" hidden="false" outlineLevel="0" max="5" min="5" style="0" width="30"/>
    <col collapsed="false" customWidth="true" hidden="false" outlineLevel="0" max="10" min="6" style="0" width="19"/>
  </cols>
  <sheetData>
    <row r="1" customFormat="false" ht="17.35" hidden="false" customHeight="false" outlineLevel="0" collapsed="false">
      <c r="A1" s="1" t="s">
        <v>719</v>
      </c>
    </row>
    <row r="2" customFormat="false" ht="15" hidden="false" customHeight="false" outlineLevel="0" collapsed="false">
      <c r="A2" s="2" t="s">
        <v>720</v>
      </c>
    </row>
    <row r="4" customFormat="false" ht="18" hidden="false" customHeight="true" outlineLevel="0" collapsed="false">
      <c r="A4" s="44" t="s">
        <v>492</v>
      </c>
      <c r="B4" s="44"/>
      <c r="C4" s="44"/>
      <c r="D4" s="44"/>
      <c r="E4" s="44"/>
      <c r="F4" s="44"/>
      <c r="G4" s="44"/>
      <c r="H4" s="44"/>
      <c r="I4" s="44"/>
    </row>
    <row r="5" customFormat="false" ht="31.5" hidden="false" customHeight="true" outlineLevel="0" collapsed="false">
      <c r="A5" s="5"/>
      <c r="B5" s="5" t="s">
        <v>70</v>
      </c>
      <c r="C5" s="5" t="s">
        <v>71</v>
      </c>
      <c r="D5" s="5" t="s">
        <v>493</v>
      </c>
      <c r="E5" s="5" t="s">
        <v>494</v>
      </c>
      <c r="F5" s="5" t="s">
        <v>495</v>
      </c>
      <c r="G5" s="5" t="s">
        <v>496</v>
      </c>
      <c r="H5" s="5" t="s">
        <v>497</v>
      </c>
    </row>
    <row r="6" customFormat="false" ht="15" hidden="false" customHeight="false" outlineLevel="0" collapsed="false">
      <c r="B6" s="15" t="s">
        <v>721</v>
      </c>
      <c r="C6" s="15" t="s">
        <v>92</v>
      </c>
      <c r="D6" s="13" t="s">
        <v>722</v>
      </c>
      <c r="E6" s="18" t="s">
        <v>723</v>
      </c>
      <c r="F6" s="46" t="n">
        <f aca="false">5_Парк!F23</f>
        <v>19</v>
      </c>
      <c r="G6" s="46" t="n">
        <f aca="false">5_Парк!G23</f>
        <v>19</v>
      </c>
      <c r="H6" s="46" t="n">
        <f aca="false">5_Парк!H23</f>
        <v>16</v>
      </c>
    </row>
    <row r="7" customFormat="false" ht="15" hidden="false" customHeight="false" outlineLevel="0" collapsed="false">
      <c r="B7" s="15" t="s">
        <v>724</v>
      </c>
      <c r="C7" s="15" t="s">
        <v>215</v>
      </c>
      <c r="D7" s="9" t="s">
        <v>26</v>
      </c>
      <c r="E7" s="18" t="s">
        <v>725</v>
      </c>
      <c r="F7" s="65" t="n">
        <f aca="false">3_Решение_фильтры!F21</f>
        <v>4300000</v>
      </c>
      <c r="G7" s="65" t="n">
        <f aca="false">3_Решение_фильтры!G21</f>
        <v>4300000</v>
      </c>
      <c r="H7" s="65" t="n">
        <f aca="false">3_Решение_фильтры!H21</f>
        <v>2700000</v>
      </c>
    </row>
    <row r="8" customFormat="false" ht="15" hidden="false" customHeight="false" outlineLevel="0" collapsed="false">
      <c r="B8" s="15" t="s">
        <v>726</v>
      </c>
      <c r="C8" s="15" t="s">
        <v>390</v>
      </c>
      <c r="D8" s="13" t="s">
        <v>727</v>
      </c>
      <c r="E8" s="18" t="s">
        <v>728</v>
      </c>
      <c r="F8" s="46" t="n">
        <f aca="false">3_Решение_фильтры!F45</f>
        <v>1</v>
      </c>
      <c r="G8" s="46" t="n">
        <f aca="false">3_Решение_фильтры!G45</f>
        <v>0</v>
      </c>
      <c r="H8" s="46" t="n">
        <f aca="false">3_Решение_фильтры!H45</f>
        <v>1</v>
      </c>
    </row>
    <row r="9" customFormat="false" ht="15" hidden="false" customHeight="false" outlineLevel="0" collapsed="false">
      <c r="B9" s="15" t="s">
        <v>729</v>
      </c>
      <c r="C9" s="15"/>
      <c r="D9" s="12" t="s">
        <v>32</v>
      </c>
      <c r="E9" s="18" t="s">
        <v>730</v>
      </c>
      <c r="F9" s="48" t="n">
        <f aca="false">P_site_pct</f>
        <v>0.05</v>
      </c>
      <c r="G9" s="48" t="n">
        <f aca="false">P_site_pct</f>
        <v>0.05</v>
      </c>
      <c r="H9" s="48" t="n">
        <f aca="false">P_site_pct</f>
        <v>0.05</v>
      </c>
    </row>
    <row r="10" customFormat="false" ht="23.85" hidden="false" customHeight="false" outlineLevel="0" collapsed="false">
      <c r="B10" s="15" t="s">
        <v>731</v>
      </c>
      <c r="C10" s="15"/>
      <c r="D10" s="11" t="s">
        <v>30</v>
      </c>
      <c r="E10" s="18" t="s">
        <v>39</v>
      </c>
      <c r="F10" s="48" t="n">
        <f aca="false">N_capex_reserve</f>
        <v>0.1</v>
      </c>
      <c r="G10" s="48" t="n">
        <f aca="false">N_capex_reserve</f>
        <v>0.1</v>
      </c>
      <c r="H10" s="48" t="n">
        <f aca="false">N_capex_reserve</f>
        <v>0.1</v>
      </c>
    </row>
    <row r="11" customFormat="false" ht="15" hidden="false" customHeight="false" outlineLevel="0" collapsed="false">
      <c r="B11" s="15" t="s">
        <v>732</v>
      </c>
      <c r="C11" s="15" t="s">
        <v>183</v>
      </c>
      <c r="D11" s="9" t="s">
        <v>24</v>
      </c>
      <c r="E11" s="18" t="s">
        <v>733</v>
      </c>
      <c r="F11" s="46" t="n">
        <f aca="false">P_budget</f>
        <v>80</v>
      </c>
      <c r="G11" s="46" t="n">
        <f aca="false">P_budget</f>
        <v>80</v>
      </c>
      <c r="H11" s="46" t="n">
        <f aca="false">P_budget</f>
        <v>80</v>
      </c>
    </row>
    <row r="13" customFormat="false" ht="18" hidden="false" customHeight="true" outlineLevel="0" collapsed="false">
      <c r="A13" s="44" t="s">
        <v>516</v>
      </c>
      <c r="B13" s="44"/>
      <c r="C13" s="44"/>
      <c r="D13" s="44"/>
      <c r="E13" s="44"/>
      <c r="F13" s="44"/>
      <c r="G13" s="44"/>
      <c r="H13" s="44"/>
      <c r="I13" s="44"/>
    </row>
    <row r="14" customFormat="false" ht="31.5" hidden="false" customHeight="true" outlineLevel="0" collapsed="false">
      <c r="A14" s="5" t="s">
        <v>517</v>
      </c>
      <c r="B14" s="5" t="s">
        <v>518</v>
      </c>
      <c r="C14" s="5" t="s">
        <v>71</v>
      </c>
      <c r="D14" s="5" t="s">
        <v>519</v>
      </c>
      <c r="E14" s="5"/>
      <c r="F14" s="5" t="s">
        <v>520</v>
      </c>
      <c r="G14" s="5" t="s">
        <v>521</v>
      </c>
      <c r="H14" s="5" t="s">
        <v>522</v>
      </c>
    </row>
    <row r="15" customFormat="false" ht="22.35" hidden="false" customHeight="false" outlineLevel="0" collapsed="false">
      <c r="A15" s="18" t="s">
        <v>734</v>
      </c>
      <c r="B15" s="15" t="s">
        <v>735</v>
      </c>
      <c r="C15" s="15" t="s">
        <v>215</v>
      </c>
      <c r="D15" s="18" t="s">
        <v>736</v>
      </c>
      <c r="E15" s="51"/>
      <c r="F15" s="64" t="n">
        <f aca="false">5_Парк!F23*3_Решение_фильтры!F21*3_Решение_фильтры!F45</f>
        <v>81700000</v>
      </c>
      <c r="G15" s="64" t="n">
        <f aca="false">5_Парк!G23*3_Решение_фильтры!G21*3_Решение_фильтры!G45</f>
        <v>0</v>
      </c>
      <c r="H15" s="64" t="n">
        <f aca="false">5_Парк!H23*3_Решение_фильтры!H21*3_Решение_фильтры!H45</f>
        <v>43200000</v>
      </c>
    </row>
    <row r="16" customFormat="false" ht="32.8" hidden="false" customHeight="false" outlineLevel="0" collapsed="false">
      <c r="A16" s="18" t="s">
        <v>737</v>
      </c>
      <c r="B16" s="15" t="s">
        <v>738</v>
      </c>
      <c r="C16" s="15" t="s">
        <v>215</v>
      </c>
      <c r="D16" s="18" t="s">
        <v>739</v>
      </c>
      <c r="E16" s="51"/>
      <c r="F16" s="64" t="n">
        <f aca="false">5_Парк!F24*N_charger_price*3_Решение_фильтры!F45</f>
        <v>1250000</v>
      </c>
      <c r="G16" s="64" t="n">
        <f aca="false">5_Парк!G24*N_charger_price*3_Решение_фильтры!G45</f>
        <v>0</v>
      </c>
      <c r="H16" s="64" t="n">
        <f aca="false">5_Парк!H24*N_charger_price*3_Решение_фильтры!H45</f>
        <v>1000000</v>
      </c>
    </row>
    <row r="17" customFormat="false" ht="22.35" hidden="false" customHeight="false" outlineLevel="0" collapsed="false">
      <c r="A17" s="18" t="s">
        <v>740</v>
      </c>
      <c r="B17" s="15" t="s">
        <v>741</v>
      </c>
      <c r="C17" s="15" t="s">
        <v>215</v>
      </c>
      <c r="D17" s="18" t="s">
        <v>742</v>
      </c>
      <c r="E17" s="51"/>
      <c r="F17" s="64" t="n">
        <f aca="false">5_Парк!F23*3_Решение_фильтры!F21*P_site_pct</f>
        <v>4085000</v>
      </c>
      <c r="G17" s="64" t="n">
        <f aca="false">5_Парк!G23*3_Решение_фильтры!G21*P_site_pct</f>
        <v>4085000</v>
      </c>
      <c r="H17" s="64" t="n">
        <f aca="false">5_Парк!H23*3_Решение_фильтры!H21*P_site_pct</f>
        <v>2160000</v>
      </c>
    </row>
    <row r="18" customFormat="false" ht="15" hidden="false" customHeight="false" outlineLevel="0" collapsed="false">
      <c r="A18" s="18" t="s">
        <v>743</v>
      </c>
      <c r="B18" s="15" t="s">
        <v>744</v>
      </c>
      <c r="C18" s="15" t="s">
        <v>215</v>
      </c>
      <c r="D18" s="18" t="s">
        <v>745</v>
      </c>
      <c r="E18" s="51"/>
      <c r="F18" s="64" t="n">
        <f aca="false">F15*N_sw_pct</f>
        <v>8170000</v>
      </c>
      <c r="G18" s="64" t="n">
        <f aca="false">G15*N_sw_pct</f>
        <v>0</v>
      </c>
      <c r="H18" s="64" t="n">
        <f aca="false">H15*N_sw_pct</f>
        <v>4320000</v>
      </c>
    </row>
    <row r="19" customFormat="false" ht="22.35" hidden="false" customHeight="false" outlineLevel="0" collapsed="false">
      <c r="A19" s="18" t="s">
        <v>746</v>
      </c>
      <c r="B19" s="15" t="s">
        <v>747</v>
      </c>
      <c r="C19" s="15" t="s">
        <v>215</v>
      </c>
      <c r="D19" s="18" t="s">
        <v>748</v>
      </c>
      <c r="E19" s="51"/>
      <c r="F19" s="64" t="n">
        <f aca="false">P_integration*IF(5_Парк!F23&gt;0,1,0)</f>
        <v>2000000</v>
      </c>
      <c r="G19" s="64" t="n">
        <f aca="false">P_integration*IF(5_Парк!G23&gt;0,1,0)</f>
        <v>2000000</v>
      </c>
      <c r="H19" s="64" t="n">
        <f aca="false">P_integration*IF(5_Парк!H23&gt;0,1,0)</f>
        <v>2000000</v>
      </c>
    </row>
    <row r="20" customFormat="false" ht="15" hidden="false" customHeight="false" outlineLevel="0" collapsed="false">
      <c r="A20" s="18" t="s">
        <v>749</v>
      </c>
      <c r="B20" s="15" t="s">
        <v>750</v>
      </c>
      <c r="C20" s="15" t="s">
        <v>215</v>
      </c>
      <c r="D20" s="18" t="s">
        <v>751</v>
      </c>
      <c r="E20" s="51"/>
      <c r="F20" s="64" t="n">
        <f aca="false">F15*N_delivery_pct</f>
        <v>1634000</v>
      </c>
      <c r="G20" s="64" t="n">
        <f aca="false">G15*N_delivery_pct</f>
        <v>0</v>
      </c>
      <c r="H20" s="64" t="n">
        <f aca="false">H15*N_delivery_pct</f>
        <v>864000</v>
      </c>
    </row>
    <row r="21" customFormat="false" ht="43.25" hidden="false" customHeight="false" outlineLevel="0" collapsed="false">
      <c r="A21" s="18" t="s">
        <v>752</v>
      </c>
      <c r="B21" s="15" t="s">
        <v>753</v>
      </c>
      <c r="C21" s="15" t="s">
        <v>215</v>
      </c>
      <c r="D21" s="18" t="s">
        <v>754</v>
      </c>
      <c r="E21" s="51"/>
      <c r="F21" s="64" t="n">
        <f aca="false">F15*N_pnr_pct+(1-3_Решение_фильтры!F45)*5_Парк!F23*3_Решение_фильтры!F21*N_raas_setup</f>
        <v>4085000</v>
      </c>
      <c r="G21" s="64" t="n">
        <f aca="false">G15*N_pnr_pct+(1-3_Решение_фильтры!G45)*5_Парк!G23*3_Решение_фильтры!G21*N_raas_setup</f>
        <v>4085000</v>
      </c>
      <c r="H21" s="64" t="n">
        <f aca="false">H15*N_pnr_pct+(1-3_Решение_фильтры!H45)*5_Парк!H23*3_Решение_фильтры!H21*N_raas_setup</f>
        <v>2160000</v>
      </c>
    </row>
    <row r="22" customFormat="false" ht="22.35" hidden="false" customHeight="false" outlineLevel="0" collapsed="false">
      <c r="A22" s="18" t="s">
        <v>755</v>
      </c>
      <c r="B22" s="15" t="s">
        <v>756</v>
      </c>
      <c r="C22" s="15" t="s">
        <v>215</v>
      </c>
      <c r="D22" s="18" t="s">
        <v>757</v>
      </c>
      <c r="E22" s="51"/>
      <c r="F22" s="64" t="n">
        <f aca="false">N_training*IF(5_Парк!F23&gt;0,1,0)</f>
        <v>300000</v>
      </c>
      <c r="G22" s="64" t="n">
        <f aca="false">N_training*IF(5_Парк!G23&gt;0,1,0)</f>
        <v>300000</v>
      </c>
      <c r="H22" s="64" t="n">
        <f aca="false">N_training*IF(5_Парк!H23&gt;0,1,0)</f>
        <v>300000</v>
      </c>
    </row>
    <row r="23" customFormat="false" ht="53.7" hidden="false" customHeight="false" outlineLevel="0" collapsed="false">
      <c r="A23" s="18" t="s">
        <v>758</v>
      </c>
      <c r="B23" s="15" t="s">
        <v>759</v>
      </c>
      <c r="C23" s="15" t="s">
        <v>215</v>
      </c>
      <c r="D23" s="18" t="s">
        <v>760</v>
      </c>
      <c r="E23" s="51"/>
      <c r="F23" s="64" t="n">
        <f aca="false">F15+F16+F17+F18+F19+F20+F21+F22</f>
        <v>103224000</v>
      </c>
      <c r="G23" s="64" t="n">
        <f aca="false">G15+G16+G17+G18+G19+G20+G21+G22</f>
        <v>10470000</v>
      </c>
      <c r="H23" s="64" t="n">
        <f aca="false">H15+H16+H17+H18+H19+H20+H21+H22</f>
        <v>56004000</v>
      </c>
    </row>
    <row r="24" customFormat="false" ht="15" hidden="false" customHeight="false" outlineLevel="0" collapsed="false">
      <c r="A24" s="18" t="s">
        <v>761</v>
      </c>
      <c r="B24" s="15" t="s">
        <v>762</v>
      </c>
      <c r="C24" s="15" t="s">
        <v>215</v>
      </c>
      <c r="D24" s="18" t="s">
        <v>763</v>
      </c>
      <c r="E24" s="51"/>
      <c r="F24" s="64" t="n">
        <f aca="false">F23*N_capex_reserve</f>
        <v>10322400</v>
      </c>
      <c r="G24" s="64" t="n">
        <f aca="false">G23*N_capex_reserve</f>
        <v>1047000</v>
      </c>
      <c r="H24" s="64" t="n">
        <f aca="false">H23*N_capex_reserve</f>
        <v>5600400</v>
      </c>
    </row>
    <row r="25" customFormat="false" ht="15" hidden="false" customHeight="false" outlineLevel="0" collapsed="false">
      <c r="A25" s="18" t="s">
        <v>764</v>
      </c>
      <c r="B25" s="53" t="s">
        <v>765</v>
      </c>
      <c r="C25" s="15" t="s">
        <v>215</v>
      </c>
      <c r="D25" s="18" t="s">
        <v>766</v>
      </c>
      <c r="E25" s="51"/>
      <c r="F25" s="54" t="n">
        <f aca="false">F23+F24</f>
        <v>113546400</v>
      </c>
      <c r="G25" s="54" t="n">
        <f aca="false">G23+G24</f>
        <v>11517000</v>
      </c>
      <c r="H25" s="54" t="n">
        <f aca="false">H23+H24</f>
        <v>61604400</v>
      </c>
    </row>
    <row r="26" customFormat="false" ht="43.25" hidden="false" customHeight="false" outlineLevel="0" collapsed="false">
      <c r="A26" s="18" t="s">
        <v>767</v>
      </c>
      <c r="B26" s="53" t="s">
        <v>768</v>
      </c>
      <c r="C26" s="15"/>
      <c r="D26" s="18" t="s">
        <v>769</v>
      </c>
      <c r="E26" s="51"/>
      <c r="F26" s="38" t="str">
        <f aca="false">IF(F25&lt;=P_budget*1000000,"В бюджете","Превышает бюджет")</f>
        <v>Превышает бюджет</v>
      </c>
      <c r="G26" s="38" t="str">
        <f aca="false">IF(G25&lt;=P_budget*1000000,"В бюджете","Превышает бюджет")</f>
        <v>В бюджете</v>
      </c>
      <c r="H26" s="38" t="str">
        <f aca="false">IF(H25&lt;=P_budget*1000000,"В бюджете","Превышает бюджет")</f>
        <v>В бюджете</v>
      </c>
    </row>
    <row r="28" customFormat="false" ht="18" hidden="false" customHeight="true" outlineLevel="0" collapsed="false">
      <c r="A28" s="44" t="s">
        <v>605</v>
      </c>
      <c r="B28" s="44"/>
      <c r="C28" s="44"/>
      <c r="D28" s="44"/>
      <c r="E28" s="44"/>
      <c r="F28" s="44"/>
      <c r="G28" s="44"/>
      <c r="H28" s="44"/>
      <c r="I28" s="44"/>
    </row>
    <row r="29" customFormat="false" ht="48" hidden="false" customHeight="true" outlineLevel="0" collapsed="false">
      <c r="B29" s="59" t="s">
        <v>770</v>
      </c>
      <c r="C29" s="59"/>
      <c r="D29" s="59"/>
      <c r="E29" s="59"/>
      <c r="F29" s="59"/>
      <c r="G29" s="59"/>
      <c r="H29" s="59"/>
    </row>
  </sheetData>
  <mergeCells count="1">
    <mergeCell ref="B29:H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58"/>
    <col collapsed="false" customWidth="true" hidden="false" outlineLevel="0" max="3" min="3" style="0" width="11"/>
    <col collapsed="false" customWidth="true" hidden="false" outlineLevel="0" max="4" min="4" style="0" width="24"/>
    <col collapsed="false" customWidth="true" hidden="false" outlineLevel="0" max="5" min="5" style="0" width="30"/>
    <col collapsed="false" customWidth="true" hidden="false" outlineLevel="0" max="10" min="6" style="0" width="19"/>
  </cols>
  <sheetData>
    <row r="1" customFormat="false" ht="17.35" hidden="false" customHeight="false" outlineLevel="0" collapsed="false">
      <c r="A1" s="1" t="s">
        <v>771</v>
      </c>
    </row>
    <row r="2" customFormat="false" ht="15" hidden="false" customHeight="false" outlineLevel="0" collapsed="false">
      <c r="A2" s="2" t="s">
        <v>772</v>
      </c>
    </row>
    <row r="4" customFormat="false" ht="18" hidden="false" customHeight="true" outlineLevel="0" collapsed="false">
      <c r="A4" s="44" t="s">
        <v>492</v>
      </c>
      <c r="B4" s="44"/>
      <c r="C4" s="44"/>
      <c r="D4" s="44"/>
      <c r="E4" s="44"/>
      <c r="F4" s="44"/>
      <c r="G4" s="44"/>
      <c r="H4" s="44"/>
      <c r="I4" s="44"/>
    </row>
    <row r="5" customFormat="false" ht="31.5" hidden="false" customHeight="true" outlineLevel="0" collapsed="false">
      <c r="A5" s="5"/>
      <c r="B5" s="5" t="s">
        <v>70</v>
      </c>
      <c r="C5" s="5" t="s">
        <v>71</v>
      </c>
      <c r="D5" s="5" t="s">
        <v>493</v>
      </c>
      <c r="E5" s="5" t="s">
        <v>494</v>
      </c>
      <c r="F5" s="5" t="s">
        <v>495</v>
      </c>
      <c r="G5" s="5" t="s">
        <v>496</v>
      </c>
      <c r="H5" s="5" t="s">
        <v>497</v>
      </c>
    </row>
    <row r="6" customFormat="false" ht="15" hidden="false" customHeight="false" outlineLevel="0" collapsed="false">
      <c r="B6" s="15" t="s">
        <v>773</v>
      </c>
      <c r="C6" s="15" t="s">
        <v>92</v>
      </c>
      <c r="D6" s="13" t="s">
        <v>722</v>
      </c>
      <c r="E6" s="18" t="s">
        <v>774</v>
      </c>
      <c r="F6" s="46" t="n">
        <f aca="false">5_Парк!F23</f>
        <v>19</v>
      </c>
      <c r="G6" s="46" t="n">
        <f aca="false">5_Парк!G23</f>
        <v>19</v>
      </c>
      <c r="H6" s="46" t="n">
        <f aca="false">5_Парк!H23</f>
        <v>16</v>
      </c>
    </row>
    <row r="7" customFormat="false" ht="15" hidden="false" customHeight="false" outlineLevel="0" collapsed="false">
      <c r="B7" s="15" t="s">
        <v>775</v>
      </c>
      <c r="C7" s="15" t="s">
        <v>215</v>
      </c>
      <c r="D7" s="13" t="s">
        <v>776</v>
      </c>
      <c r="E7" s="18" t="s">
        <v>777</v>
      </c>
      <c r="F7" s="65" t="n">
        <f aca="false">7_CAPEX!F15</f>
        <v>81700000</v>
      </c>
      <c r="G7" s="65" t="n">
        <f aca="false">7_CAPEX!G15</f>
        <v>0</v>
      </c>
      <c r="H7" s="65" t="n">
        <f aca="false">7_CAPEX!H15</f>
        <v>43200000</v>
      </c>
    </row>
    <row r="8" customFormat="false" ht="15" hidden="false" customHeight="false" outlineLevel="0" collapsed="false">
      <c r="B8" s="15" t="s">
        <v>778</v>
      </c>
      <c r="C8" s="15" t="s">
        <v>180</v>
      </c>
      <c r="D8" s="12" t="s">
        <v>32</v>
      </c>
      <c r="E8" s="18" t="s">
        <v>779</v>
      </c>
      <c r="F8" s="47" t="n">
        <f aca="false">3_Решение_фильтры!F26</f>
        <v>3</v>
      </c>
      <c r="G8" s="47" t="n">
        <f aca="false">3_Решение_фильтры!G26</f>
        <v>3</v>
      </c>
      <c r="H8" s="47" t="n">
        <f aca="false">3_Решение_фильтры!H26</f>
        <v>1</v>
      </c>
    </row>
    <row r="9" customFormat="false" ht="22.35" hidden="false" customHeight="false" outlineLevel="0" collapsed="false">
      <c r="B9" s="15" t="s">
        <v>780</v>
      </c>
      <c r="C9" s="15"/>
      <c r="D9" s="13" t="s">
        <v>380</v>
      </c>
      <c r="E9" s="18" t="s">
        <v>781</v>
      </c>
      <c r="F9" s="60" t="n">
        <f aca="false">P_hours_day</f>
        <v>22</v>
      </c>
      <c r="G9" s="60" t="n">
        <f aca="false">P_hours_day</f>
        <v>22</v>
      </c>
      <c r="H9" s="60" t="n">
        <f aca="false">P_hours_day</f>
        <v>22</v>
      </c>
    </row>
    <row r="10" customFormat="false" ht="23.85" hidden="false" customHeight="false" outlineLevel="0" collapsed="false">
      <c r="B10" s="15" t="s">
        <v>782</v>
      </c>
      <c r="C10" s="15"/>
      <c r="D10" s="11" t="s">
        <v>30</v>
      </c>
      <c r="E10" s="18" t="s">
        <v>39</v>
      </c>
      <c r="F10" s="48" t="n">
        <f aca="false">N_service_pct</f>
        <v>0.08</v>
      </c>
      <c r="G10" s="48" t="n">
        <f aca="false">N_service_pct</f>
        <v>0.08</v>
      </c>
      <c r="H10" s="48" t="n">
        <f aca="false">N_service_pct</f>
        <v>0.08</v>
      </c>
    </row>
    <row r="11" customFormat="false" ht="15" hidden="false" customHeight="false" outlineLevel="0" collapsed="false">
      <c r="B11" s="15" t="s">
        <v>783</v>
      </c>
      <c r="C11" s="15" t="s">
        <v>255</v>
      </c>
      <c r="D11" s="12" t="s">
        <v>32</v>
      </c>
      <c r="E11" s="18" t="s">
        <v>784</v>
      </c>
      <c r="F11" s="65" t="n">
        <f aca="false">P_consum_per_robot</f>
        <v>0</v>
      </c>
      <c r="G11" s="65" t="n">
        <f aca="false">P_consum_per_robot</f>
        <v>0</v>
      </c>
      <c r="H11" s="65" t="n">
        <f aca="false">P_consum_per_robot</f>
        <v>0</v>
      </c>
    </row>
    <row r="13" customFormat="false" ht="18" hidden="false" customHeight="true" outlineLevel="0" collapsed="false">
      <c r="A13" s="44" t="s">
        <v>516</v>
      </c>
      <c r="B13" s="44"/>
      <c r="C13" s="44"/>
      <c r="D13" s="44"/>
      <c r="E13" s="44"/>
      <c r="F13" s="44"/>
      <c r="G13" s="44"/>
      <c r="H13" s="44"/>
      <c r="I13" s="44"/>
    </row>
    <row r="14" customFormat="false" ht="31.5" hidden="false" customHeight="true" outlineLevel="0" collapsed="false">
      <c r="A14" s="5" t="s">
        <v>517</v>
      </c>
      <c r="B14" s="5" t="s">
        <v>518</v>
      </c>
      <c r="C14" s="5" t="s">
        <v>71</v>
      </c>
      <c r="D14" s="5" t="s">
        <v>519</v>
      </c>
      <c r="E14" s="5"/>
      <c r="F14" s="5" t="s">
        <v>520</v>
      </c>
      <c r="G14" s="5" t="s">
        <v>521</v>
      </c>
      <c r="H14" s="5" t="s">
        <v>522</v>
      </c>
    </row>
    <row r="15" customFormat="false" ht="32.8" hidden="false" customHeight="false" outlineLevel="0" collapsed="false">
      <c r="A15" s="18" t="s">
        <v>785</v>
      </c>
      <c r="B15" s="15" t="s">
        <v>786</v>
      </c>
      <c r="C15" s="15" t="s">
        <v>255</v>
      </c>
      <c r="D15" s="18" t="s">
        <v>787</v>
      </c>
      <c r="E15" s="51"/>
      <c r="F15" s="64" t="n">
        <f aca="false">(1-3_Решение_фильтры!F45)*5_Парк!F23*3_Решение_фильтры!F21*N_raas_pct*12</f>
        <v>0</v>
      </c>
      <c r="G15" s="64" t="n">
        <f aca="false">(1-3_Решение_фильтры!G45)*5_Парк!G23*3_Решение_фильтры!G21*N_raas_pct*12</f>
        <v>29412000</v>
      </c>
      <c r="H15" s="64" t="n">
        <f aca="false">(1-3_Решение_фильтры!H45)*5_Парк!H23*3_Решение_фильтры!H21*N_raas_pct*12</f>
        <v>0</v>
      </c>
    </row>
    <row r="16" customFormat="false" ht="22.35" hidden="false" customHeight="false" outlineLevel="0" collapsed="false">
      <c r="A16" s="18" t="s">
        <v>788</v>
      </c>
      <c r="B16" s="15" t="s">
        <v>789</v>
      </c>
      <c r="C16" s="15" t="s">
        <v>255</v>
      </c>
      <c r="D16" s="18" t="s">
        <v>790</v>
      </c>
      <c r="E16" s="51"/>
      <c r="F16" s="64" t="n">
        <f aca="false">3_Решение_фильтры!F45*7_CAPEX!F15*N_service_pct</f>
        <v>6536000</v>
      </c>
      <c r="G16" s="64" t="n">
        <f aca="false">3_Решение_фильтры!G45*7_CAPEX!G15*N_service_pct</f>
        <v>0</v>
      </c>
      <c r="H16" s="64" t="n">
        <f aca="false">3_Решение_фильтры!H45*7_CAPEX!H15*N_service_pct</f>
        <v>3456000</v>
      </c>
    </row>
    <row r="17" customFormat="false" ht="22.35" hidden="false" customHeight="false" outlineLevel="0" collapsed="false">
      <c r="A17" s="18" t="s">
        <v>791</v>
      </c>
      <c r="B17" s="15" t="s">
        <v>792</v>
      </c>
      <c r="C17" s="15" t="s">
        <v>255</v>
      </c>
      <c r="D17" s="18" t="s">
        <v>793</v>
      </c>
      <c r="E17" s="51"/>
      <c r="F17" s="64" t="n">
        <f aca="false">3_Решение_фильтры!F45*7_CAPEX!F15*N_license_pct</f>
        <v>2451000</v>
      </c>
      <c r="G17" s="64" t="n">
        <f aca="false">3_Решение_фильтры!G45*7_CAPEX!G15*N_license_pct</f>
        <v>0</v>
      </c>
      <c r="H17" s="64" t="n">
        <f aca="false">3_Решение_фильтры!H45*7_CAPEX!H15*N_license_pct</f>
        <v>1296000</v>
      </c>
    </row>
    <row r="18" customFormat="false" ht="22.35" hidden="false" customHeight="false" outlineLevel="0" collapsed="false">
      <c r="A18" s="18" t="s">
        <v>794</v>
      </c>
      <c r="B18" s="15" t="s">
        <v>795</v>
      </c>
      <c r="C18" s="15" t="s">
        <v>255</v>
      </c>
      <c r="D18" s="18" t="s">
        <v>796</v>
      </c>
      <c r="E18" s="51"/>
      <c r="F18" s="64" t="n">
        <f aca="false">3_Решение_фильтры!F45*7_CAPEX!F15*N_repair_pct</f>
        <v>1634000</v>
      </c>
      <c r="G18" s="64" t="n">
        <f aca="false">3_Решение_фильтры!G45*7_CAPEX!G15*N_repair_pct</f>
        <v>0</v>
      </c>
      <c r="H18" s="64" t="n">
        <f aca="false">3_Решение_фильтры!H45*7_CAPEX!H15*N_repair_pct</f>
        <v>864000</v>
      </c>
    </row>
    <row r="19" customFormat="false" ht="32.8" hidden="false" customHeight="false" outlineLevel="0" collapsed="false">
      <c r="A19" s="18" t="s">
        <v>797</v>
      </c>
      <c r="B19" s="15" t="s">
        <v>798</v>
      </c>
      <c r="C19" s="15" t="s">
        <v>255</v>
      </c>
      <c r="D19" s="18" t="s">
        <v>799</v>
      </c>
      <c r="E19" s="51"/>
      <c r="F19" s="64" t="n">
        <f aca="false">5_Парк!F23*3_Решение_фильтры!F26*P_hours_day*365*N_energy_price</f>
        <v>3432825</v>
      </c>
      <c r="G19" s="64" t="n">
        <f aca="false">5_Парк!G23*3_Решение_фильтры!G26*P_hours_day*365*N_energy_price</f>
        <v>3432825</v>
      </c>
      <c r="H19" s="64" t="n">
        <f aca="false">5_Парк!H23*3_Решение_фильтры!H26*P_hours_day*365*N_energy_price</f>
        <v>963600</v>
      </c>
    </row>
    <row r="20" customFormat="false" ht="22.35" hidden="false" customHeight="false" outlineLevel="0" collapsed="false">
      <c r="A20" s="18" t="s">
        <v>800</v>
      </c>
      <c r="B20" s="15" t="s">
        <v>801</v>
      </c>
      <c r="C20" s="15" t="s">
        <v>255</v>
      </c>
      <c r="D20" s="18" t="s">
        <v>802</v>
      </c>
      <c r="E20" s="51"/>
      <c r="F20" s="64" t="n">
        <f aca="false">N_connect*IF(5_Парк!F23&gt;0,1,0)</f>
        <v>60000</v>
      </c>
      <c r="G20" s="64" t="n">
        <f aca="false">N_connect*IF(5_Парк!G23&gt;0,1,0)</f>
        <v>60000</v>
      </c>
      <c r="H20" s="64" t="n">
        <f aca="false">N_connect*IF(5_Парк!H23&gt;0,1,0)</f>
        <v>60000</v>
      </c>
    </row>
    <row r="21" customFormat="false" ht="22.35" hidden="false" customHeight="false" outlineLevel="0" collapsed="false">
      <c r="A21" s="18" t="s">
        <v>803</v>
      </c>
      <c r="B21" s="15" t="s">
        <v>804</v>
      </c>
      <c r="C21" s="15" t="s">
        <v>255</v>
      </c>
      <c r="D21" s="18" t="s">
        <v>805</v>
      </c>
      <c r="E21" s="51"/>
      <c r="F21" s="64" t="n">
        <f aca="false">P_consum_per_robot*5_Парк!F23</f>
        <v>0</v>
      </c>
      <c r="G21" s="64" t="n">
        <f aca="false">P_consum_per_robot*5_Парк!G23</f>
        <v>0</v>
      </c>
      <c r="H21" s="64" t="n">
        <f aca="false">P_consum_per_robot*5_Парк!H23</f>
        <v>0</v>
      </c>
    </row>
    <row r="22" customFormat="false" ht="32.8" hidden="false" customHeight="false" outlineLevel="0" collapsed="false">
      <c r="A22" s="18" t="s">
        <v>806</v>
      </c>
      <c r="B22" s="15" t="s">
        <v>807</v>
      </c>
      <c r="C22" s="15" t="s">
        <v>255</v>
      </c>
      <c r="D22" s="18" t="s">
        <v>808</v>
      </c>
      <c r="E22" s="51"/>
      <c r="F22" s="64" t="n">
        <f aca="false">P_fleet_per_shift*P_shifts*(1+P_loss_k)*P_fleet_sal*12*N_fot*IF(5_Парк!F23&gt;0,1,0)</f>
        <v>4687200</v>
      </c>
      <c r="G22" s="64" t="n">
        <f aca="false">P_fleet_per_shift*P_shifts*(1+P_loss_k)*P_fleet_sal*12*N_fot*IF(5_Парк!G23&gt;0,1,0)</f>
        <v>4687200</v>
      </c>
      <c r="H22" s="64" t="n">
        <f aca="false">P_fleet_per_shift*P_shifts*(1+P_loss_k)*P_fleet_sal*12*N_fot*IF(5_Парк!H23&gt;0,1,0)</f>
        <v>4687200</v>
      </c>
    </row>
    <row r="23" customFormat="false" ht="43.25" hidden="false" customHeight="false" outlineLevel="0" collapsed="false">
      <c r="A23" s="18" t="s">
        <v>809</v>
      </c>
      <c r="B23" s="15" t="s">
        <v>810</v>
      </c>
      <c r="C23" s="15" t="s">
        <v>255</v>
      </c>
      <c r="D23" s="18" t="s">
        <v>811</v>
      </c>
      <c r="E23" s="51"/>
      <c r="F23" s="64" t="n">
        <f aca="false">3_Решение_фильтры!F45*7_CAPEX!F25*N_loan_share*N_loan_rate*(N_loan_years+1)/(2*N_loan_years)</f>
        <v>0</v>
      </c>
      <c r="G23" s="64" t="n">
        <f aca="false">3_Решение_фильтры!G45*7_CAPEX!G25*N_loan_share*N_loan_rate*(N_loan_years+1)/(2*N_loan_years)</f>
        <v>0</v>
      </c>
      <c r="H23" s="64" t="n">
        <f aca="false">3_Решение_фильтры!H45*7_CAPEX!H25*N_loan_share*N_loan_rate*(N_loan_years+1)/(2*N_loan_years)</f>
        <v>0</v>
      </c>
    </row>
    <row r="24" customFormat="false" ht="53.7" hidden="false" customHeight="false" outlineLevel="0" collapsed="false">
      <c r="A24" s="18" t="s">
        <v>812</v>
      </c>
      <c r="B24" s="53" t="s">
        <v>813</v>
      </c>
      <c r="C24" s="15" t="s">
        <v>255</v>
      </c>
      <c r="D24" s="18" t="s">
        <v>814</v>
      </c>
      <c r="E24" s="51"/>
      <c r="F24" s="54" t="n">
        <f aca="false">F15+F16+F17+F18+F19+F20+F21+F22+F23</f>
        <v>18801025</v>
      </c>
      <c r="G24" s="54" t="n">
        <f aca="false">G15+G16+G17+G18+G19+G20+G21+G22+G23</f>
        <v>37592025</v>
      </c>
      <c r="H24" s="54" t="n">
        <f aca="false">H15+H16+H17+H18+H19+H20+H21+H22+H23</f>
        <v>11326800</v>
      </c>
    </row>
    <row r="26" customFormat="false" ht="18" hidden="false" customHeight="true" outlineLevel="0" collapsed="false">
      <c r="A26" s="44" t="s">
        <v>605</v>
      </c>
      <c r="B26" s="44"/>
      <c r="C26" s="44"/>
      <c r="D26" s="44"/>
      <c r="E26" s="44"/>
      <c r="F26" s="44"/>
      <c r="G26" s="44"/>
      <c r="H26" s="44"/>
      <c r="I26" s="44"/>
    </row>
    <row r="27" customFormat="false" ht="48" hidden="false" customHeight="true" outlineLevel="0" collapsed="false">
      <c r="B27" s="59" t="s">
        <v>815</v>
      </c>
      <c r="C27" s="59"/>
      <c r="D27" s="59"/>
      <c r="E27" s="59"/>
      <c r="F27" s="59"/>
      <c r="G27" s="59"/>
      <c r="H27" s="59"/>
    </row>
  </sheetData>
  <mergeCells count="1">
    <mergeCell ref="B27:H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58"/>
    <col collapsed="false" customWidth="true" hidden="false" outlineLevel="0" max="3" min="3" style="0" width="11"/>
    <col collapsed="false" customWidth="true" hidden="false" outlineLevel="0" max="4" min="4" style="0" width="24"/>
    <col collapsed="false" customWidth="true" hidden="false" outlineLevel="0" max="5" min="5" style="0" width="30"/>
    <col collapsed="false" customWidth="true" hidden="false" outlineLevel="0" max="10" min="6" style="0" width="19"/>
  </cols>
  <sheetData>
    <row r="1" customFormat="false" ht="17.35" hidden="false" customHeight="false" outlineLevel="0" collapsed="false">
      <c r="A1" s="1" t="s">
        <v>816</v>
      </c>
    </row>
    <row r="2" customFormat="false" ht="15" hidden="false" customHeight="false" outlineLevel="0" collapsed="false">
      <c r="A2" s="2" t="s">
        <v>817</v>
      </c>
    </row>
    <row r="4" customFormat="false" ht="18" hidden="false" customHeight="true" outlineLevel="0" collapsed="false">
      <c r="A4" s="44" t="s">
        <v>492</v>
      </c>
      <c r="B4" s="44"/>
      <c r="C4" s="44"/>
      <c r="D4" s="44"/>
      <c r="E4" s="44"/>
      <c r="F4" s="44"/>
      <c r="G4" s="44"/>
      <c r="H4" s="44"/>
      <c r="I4" s="44"/>
    </row>
    <row r="5" customFormat="false" ht="31.5" hidden="false" customHeight="true" outlineLevel="0" collapsed="false">
      <c r="A5" s="5"/>
      <c r="B5" s="5" t="s">
        <v>70</v>
      </c>
      <c r="C5" s="5" t="s">
        <v>71</v>
      </c>
      <c r="D5" s="5" t="s">
        <v>493</v>
      </c>
      <c r="E5" s="5" t="s">
        <v>494</v>
      </c>
      <c r="F5" s="5" t="s">
        <v>495</v>
      </c>
      <c r="G5" s="5" t="s">
        <v>496</v>
      </c>
      <c r="H5" s="5" t="s">
        <v>497</v>
      </c>
    </row>
    <row r="6" customFormat="false" ht="15" hidden="false" customHeight="false" outlineLevel="0" collapsed="false">
      <c r="B6" s="15" t="s">
        <v>818</v>
      </c>
      <c r="C6" s="15" t="s">
        <v>255</v>
      </c>
      <c r="D6" s="13" t="s">
        <v>819</v>
      </c>
      <c r="E6" s="18" t="s">
        <v>820</v>
      </c>
      <c r="F6" s="65" t="n">
        <f aca="false">6_База!F14</f>
        <v>46872000</v>
      </c>
      <c r="G6" s="65" t="n">
        <f aca="false">6_База!F14</f>
        <v>46872000</v>
      </c>
      <c r="H6" s="65" t="n">
        <f aca="false">6_База!F14</f>
        <v>46872000</v>
      </c>
    </row>
    <row r="7" customFormat="false" ht="22.35" hidden="false" customHeight="false" outlineLevel="0" collapsed="false">
      <c r="B7" s="15" t="s">
        <v>821</v>
      </c>
      <c r="C7" s="15"/>
      <c r="D7" s="13" t="s">
        <v>380</v>
      </c>
      <c r="E7" s="18" t="s">
        <v>822</v>
      </c>
      <c r="F7" s="60" t="n">
        <f aca="false">P_fte_target</f>
        <v>23.75</v>
      </c>
      <c r="G7" s="60" t="n">
        <f aca="false">P_fte_target</f>
        <v>23.75</v>
      </c>
      <c r="H7" s="60" t="n">
        <f aca="false">P_fte_target</f>
        <v>23.75</v>
      </c>
    </row>
    <row r="8" customFormat="false" ht="22.35" hidden="false" customHeight="false" outlineLevel="0" collapsed="false">
      <c r="B8" s="15" t="s">
        <v>823</v>
      </c>
      <c r="C8" s="15"/>
      <c r="D8" s="12" t="s">
        <v>32</v>
      </c>
      <c r="E8" s="18" t="s">
        <v>824</v>
      </c>
      <c r="F8" s="47" t="n">
        <f aca="false">3_Решение_фильтры!F30</f>
        <v>0.8</v>
      </c>
      <c r="G8" s="47" t="n">
        <f aca="false">3_Решение_фильтры!G30</f>
        <v>0.8</v>
      </c>
      <c r="H8" s="47" t="n">
        <f aca="false">3_Решение_фильтры!H30</f>
        <v>0.6</v>
      </c>
    </row>
    <row r="9" customFormat="false" ht="15" hidden="false" customHeight="false" outlineLevel="0" collapsed="false">
      <c r="B9" s="15" t="s">
        <v>825</v>
      </c>
      <c r="C9" s="15" t="s">
        <v>215</v>
      </c>
      <c r="D9" s="13" t="s">
        <v>776</v>
      </c>
      <c r="E9" s="18" t="s">
        <v>53</v>
      </c>
      <c r="F9" s="65" t="n">
        <f aca="false">7_CAPEX!F25</f>
        <v>113546400</v>
      </c>
      <c r="G9" s="65" t="n">
        <f aca="false">7_CAPEX!G25</f>
        <v>11517000</v>
      </c>
      <c r="H9" s="65" t="n">
        <f aca="false">7_CAPEX!H25</f>
        <v>61604400</v>
      </c>
    </row>
    <row r="10" customFormat="false" ht="15" hidden="false" customHeight="false" outlineLevel="0" collapsed="false">
      <c r="B10" s="15" t="s">
        <v>826</v>
      </c>
      <c r="C10" s="15" t="s">
        <v>255</v>
      </c>
      <c r="D10" s="13" t="s">
        <v>827</v>
      </c>
      <c r="E10" s="18" t="s">
        <v>828</v>
      </c>
      <c r="F10" s="65" t="n">
        <f aca="false">8_OPEX!F24</f>
        <v>18801025</v>
      </c>
      <c r="G10" s="65" t="n">
        <f aca="false">8_OPEX!G24</f>
        <v>37592025</v>
      </c>
      <c r="H10" s="65" t="n">
        <f aca="false">8_OPEX!H24</f>
        <v>11326800</v>
      </c>
    </row>
    <row r="11" customFormat="false" ht="23.85" hidden="false" customHeight="false" outlineLevel="0" collapsed="false">
      <c r="B11" s="15" t="s">
        <v>829</v>
      </c>
      <c r="C11" s="15"/>
      <c r="D11" s="11" t="s">
        <v>30</v>
      </c>
      <c r="E11" s="18" t="s">
        <v>830</v>
      </c>
      <c r="F11" s="46" t="n">
        <f aca="false">P_horizon</f>
        <v>5</v>
      </c>
      <c r="G11" s="46" t="n">
        <f aca="false">P_horizon</f>
        <v>5</v>
      </c>
      <c r="H11" s="46" t="n">
        <f aca="false">P_horizon</f>
        <v>5</v>
      </c>
    </row>
    <row r="12" customFormat="false" ht="15" hidden="false" customHeight="false" outlineLevel="0" collapsed="false">
      <c r="B12" s="15" t="s">
        <v>831</v>
      </c>
      <c r="C12" s="15" t="s">
        <v>255</v>
      </c>
      <c r="D12" s="12" t="s">
        <v>32</v>
      </c>
      <c r="E12" s="18" t="s">
        <v>832</v>
      </c>
      <c r="F12" s="65" t="n">
        <f aca="false">P_other_effects</f>
        <v>0</v>
      </c>
      <c r="G12" s="65" t="n">
        <f aca="false">P_other_effects</f>
        <v>0</v>
      </c>
      <c r="H12" s="65" t="n">
        <f aca="false">P_other_effects</f>
        <v>0</v>
      </c>
    </row>
    <row r="14" customFormat="false" ht="18" hidden="false" customHeight="true" outlineLevel="0" collapsed="false">
      <c r="A14" s="44" t="s">
        <v>516</v>
      </c>
      <c r="B14" s="44"/>
      <c r="C14" s="44"/>
      <c r="D14" s="44"/>
      <c r="E14" s="44"/>
      <c r="F14" s="44"/>
      <c r="G14" s="44"/>
      <c r="H14" s="44"/>
      <c r="I14" s="44"/>
    </row>
    <row r="15" customFormat="false" ht="31.5" hidden="false" customHeight="true" outlineLevel="0" collapsed="false">
      <c r="A15" s="5" t="s">
        <v>517</v>
      </c>
      <c r="B15" s="5" t="s">
        <v>518</v>
      </c>
      <c r="C15" s="5" t="s">
        <v>71</v>
      </c>
      <c r="D15" s="5" t="s">
        <v>519</v>
      </c>
      <c r="E15" s="5"/>
      <c r="F15" s="5" t="s">
        <v>520</v>
      </c>
      <c r="G15" s="5" t="s">
        <v>521</v>
      </c>
      <c r="H15" s="5" t="s">
        <v>522</v>
      </c>
    </row>
    <row r="16" customFormat="false" ht="22.35" hidden="false" customHeight="false" outlineLevel="0" collapsed="false">
      <c r="A16" s="18" t="s">
        <v>833</v>
      </c>
      <c r="B16" s="53" t="s">
        <v>834</v>
      </c>
      <c r="C16" s="15" t="s">
        <v>456</v>
      </c>
      <c r="D16" s="18" t="s">
        <v>835</v>
      </c>
      <c r="E16" s="51"/>
      <c r="F16" s="62" t="n">
        <f aca="false">P_fte_target*3_Решение_фильтры!F30*3_Решение_фильтры!F43</f>
        <v>19</v>
      </c>
      <c r="G16" s="62" t="n">
        <f aca="false">P_fte_target*3_Решение_фильтры!G30*3_Решение_фильтры!G43</f>
        <v>19</v>
      </c>
      <c r="H16" s="62" t="n">
        <f aca="false">P_fte_target*3_Решение_фильтры!H30*3_Решение_фильтры!H43</f>
        <v>14.25</v>
      </c>
    </row>
    <row r="17" customFormat="false" ht="22.35" hidden="false" customHeight="false" outlineLevel="0" collapsed="false">
      <c r="A17" s="18" t="s">
        <v>836</v>
      </c>
      <c r="B17" s="15" t="s">
        <v>837</v>
      </c>
      <c r="C17" s="15" t="s">
        <v>255</v>
      </c>
      <c r="D17" s="18" t="s">
        <v>838</v>
      </c>
      <c r="E17" s="51"/>
      <c r="F17" s="64" t="n">
        <f aca="false">P_labor_target*3_Решение_фильтры!F30*3_Решение_фильтры!F43</f>
        <v>35622720</v>
      </c>
      <c r="G17" s="64" t="n">
        <f aca="false">P_labor_target*3_Решение_фильтры!G30*3_Решение_фильтры!G43</f>
        <v>35622720</v>
      </c>
      <c r="H17" s="64" t="n">
        <f aca="false">P_labor_target*3_Решение_фильтры!H30*3_Решение_фильтры!H43</f>
        <v>26717040</v>
      </c>
    </row>
    <row r="18" customFormat="false" ht="22.35" hidden="false" customHeight="false" outlineLevel="0" collapsed="false">
      <c r="A18" s="18" t="s">
        <v>839</v>
      </c>
      <c r="B18" s="15" t="s">
        <v>840</v>
      </c>
      <c r="C18" s="15" t="s">
        <v>255</v>
      </c>
      <c r="D18" s="18" t="s">
        <v>841</v>
      </c>
      <c r="E18" s="51"/>
      <c r="F18" s="64" t="n">
        <f aca="false">6_База!F14-F17</f>
        <v>11249280</v>
      </c>
      <c r="G18" s="64" t="n">
        <f aca="false">6_База!F14-G17</f>
        <v>11249280</v>
      </c>
      <c r="H18" s="64" t="n">
        <f aca="false">6_База!F14-H17</f>
        <v>20154960</v>
      </c>
    </row>
    <row r="19" customFormat="false" ht="22.35" hidden="false" customHeight="false" outlineLevel="0" collapsed="false">
      <c r="A19" s="18" t="s">
        <v>842</v>
      </c>
      <c r="B19" s="53" t="s">
        <v>843</v>
      </c>
      <c r="C19" s="15" t="s">
        <v>255</v>
      </c>
      <c r="D19" s="18" t="s">
        <v>844</v>
      </c>
      <c r="E19" s="51"/>
      <c r="F19" s="54" t="n">
        <f aca="false">F18+8_OPEX!F24</f>
        <v>30050305</v>
      </c>
      <c r="G19" s="54" t="n">
        <f aca="false">G18+8_OPEX!G24</f>
        <v>48841305</v>
      </c>
      <c r="H19" s="54" t="n">
        <f aca="false">H18+8_OPEX!H24</f>
        <v>31481760</v>
      </c>
    </row>
    <row r="20" customFormat="false" ht="22.35" hidden="false" customHeight="false" outlineLevel="0" collapsed="false">
      <c r="A20" s="18" t="s">
        <v>845</v>
      </c>
      <c r="B20" s="53" t="s">
        <v>846</v>
      </c>
      <c r="C20" s="15" t="s">
        <v>255</v>
      </c>
      <c r="D20" s="18" t="s">
        <v>847</v>
      </c>
      <c r="E20" s="51"/>
      <c r="F20" s="54" t="n">
        <f aca="false">F19-6_База!F14</f>
        <v>-16821695</v>
      </c>
      <c r="G20" s="54" t="n">
        <f aca="false">G19-6_База!F14</f>
        <v>1969305</v>
      </c>
      <c r="H20" s="54" t="n">
        <f aca="false">H19-6_База!F14</f>
        <v>-15390240</v>
      </c>
    </row>
    <row r="21" customFormat="false" ht="23.85" hidden="false" customHeight="false" outlineLevel="0" collapsed="false">
      <c r="A21" s="18" t="s">
        <v>848</v>
      </c>
      <c r="B21" s="15" t="s">
        <v>849</v>
      </c>
      <c r="C21" s="15" t="s">
        <v>255</v>
      </c>
      <c r="D21" s="18" t="s">
        <v>850</v>
      </c>
      <c r="E21" s="51"/>
      <c r="F21" s="64" t="n">
        <f aca="false">F16*P_turnover*N_hire_cost*P_sal_target</f>
        <v>0</v>
      </c>
      <c r="G21" s="64" t="n">
        <f aca="false">G16*P_turnover*N_hire_cost*P_sal_target</f>
        <v>0</v>
      </c>
      <c r="H21" s="64" t="n">
        <f aca="false">H16*P_turnover*N_hire_cost*P_sal_target</f>
        <v>0</v>
      </c>
    </row>
    <row r="22" customFormat="false" ht="22.35" hidden="false" customHeight="false" outlineLevel="0" collapsed="false">
      <c r="A22" s="18" t="s">
        <v>851</v>
      </c>
      <c r="B22" s="15" t="s">
        <v>852</v>
      </c>
      <c r="C22" s="15" t="s">
        <v>255</v>
      </c>
      <c r="D22" s="18" t="s">
        <v>853</v>
      </c>
      <c r="E22" s="51"/>
      <c r="F22" s="64" t="n">
        <f aca="false">P_other_effects*3_Решение_фильтры!F43</f>
        <v>0</v>
      </c>
      <c r="G22" s="64" t="n">
        <f aca="false">P_other_effects*3_Решение_фильтры!G43</f>
        <v>0</v>
      </c>
      <c r="H22" s="64" t="n">
        <f aca="false">P_other_effects*3_Решение_фильтры!H43</f>
        <v>0</v>
      </c>
    </row>
    <row r="23" customFormat="false" ht="32.8" hidden="false" customHeight="false" outlineLevel="0" collapsed="false">
      <c r="A23" s="18" t="s">
        <v>854</v>
      </c>
      <c r="B23" s="53" t="s">
        <v>855</v>
      </c>
      <c r="C23" s="15" t="s">
        <v>255</v>
      </c>
      <c r="D23" s="18" t="s">
        <v>856</v>
      </c>
      <c r="E23" s="51"/>
      <c r="F23" s="54" t="n">
        <f aca="false">6_База!F14-F19+F21+F22</f>
        <v>16821695</v>
      </c>
      <c r="G23" s="54" t="n">
        <f aca="false">6_База!F14-G19+G21+G22</f>
        <v>-1969305</v>
      </c>
      <c r="H23" s="54" t="n">
        <f aca="false">6_База!F14-H19+H21+H22</f>
        <v>15390240</v>
      </c>
    </row>
    <row r="24" customFormat="false" ht="32.8" hidden="false" customHeight="false" outlineLevel="0" collapsed="false">
      <c r="A24" s="18" t="s">
        <v>857</v>
      </c>
      <c r="B24" s="15" t="s">
        <v>858</v>
      </c>
      <c r="C24" s="15" t="s">
        <v>255</v>
      </c>
      <c r="D24" s="18" t="s">
        <v>859</v>
      </c>
      <c r="E24" s="51"/>
      <c r="F24" s="64" t="n">
        <f aca="false">7_CAPEX!F25/N_life*3_Решение_фильтры!F45</f>
        <v>16220914.2857143</v>
      </c>
      <c r="G24" s="64" t="n">
        <f aca="false">7_CAPEX!G25/N_life*3_Решение_фильтры!G45</f>
        <v>0</v>
      </c>
      <c r="H24" s="64" t="n">
        <f aca="false">7_CAPEX!H25/N_life*3_Решение_фильтры!H45</f>
        <v>8800628.57142857</v>
      </c>
    </row>
    <row r="25" customFormat="false" ht="15" hidden="false" customHeight="false" outlineLevel="0" collapsed="false">
      <c r="A25" s="18" t="s">
        <v>860</v>
      </c>
      <c r="B25" s="53" t="s">
        <v>861</v>
      </c>
      <c r="C25" s="15" t="s">
        <v>255</v>
      </c>
      <c r="D25" s="18" t="s">
        <v>862</v>
      </c>
      <c r="E25" s="51"/>
      <c r="F25" s="54" t="n">
        <f aca="false">F23-F24</f>
        <v>600780.714285715</v>
      </c>
      <c r="G25" s="54" t="n">
        <f aca="false">G23-G24</f>
        <v>-1969305</v>
      </c>
      <c r="H25" s="54" t="n">
        <f aca="false">H23-H24</f>
        <v>6589611.42857143</v>
      </c>
    </row>
    <row r="26" customFormat="false" ht="43.25" hidden="false" customHeight="false" outlineLevel="0" collapsed="false">
      <c r="A26" s="18" t="s">
        <v>863</v>
      </c>
      <c r="B26" s="53" t="s">
        <v>864</v>
      </c>
      <c r="C26" s="15" t="s">
        <v>186</v>
      </c>
      <c r="D26" s="18" t="s">
        <v>865</v>
      </c>
      <c r="E26" s="51"/>
      <c r="F26" s="62" t="n">
        <f aca="false">IF(AND(3_Решение_фильтры!F43=1,F23&gt;0),7_CAPEX!F25/F23,"не окупается")</f>
        <v>6.74999754780954</v>
      </c>
      <c r="G26" s="62" t="str">
        <f aca="false">IF(AND(3_Решение_фильтры!G43=1,G23&gt;0),7_CAPEX!G25/G23,"не окупается")</f>
        <v>не окупается</v>
      </c>
      <c r="H26" s="62" t="n">
        <f aca="false">IF(AND(3_Решение_фильтры!H43=1,H23&gt;0),7_CAPEX!H25/H23,"не окупается")</f>
        <v>4.00282256806911</v>
      </c>
    </row>
    <row r="27" customFormat="false" ht="32.8" hidden="false" customHeight="false" outlineLevel="0" collapsed="false">
      <c r="A27" s="18" t="s">
        <v>866</v>
      </c>
      <c r="B27" s="15" t="s">
        <v>867</v>
      </c>
      <c r="C27" s="15" t="s">
        <v>92</v>
      </c>
      <c r="D27" s="18" t="s">
        <v>868</v>
      </c>
      <c r="E27" s="51"/>
      <c r="F27" s="57" t="n">
        <f aca="false">3_Решение_фильтры!F45*INT((P_horizon-1)/N_battery_life)</f>
        <v>1</v>
      </c>
      <c r="G27" s="57" t="n">
        <f aca="false">3_Решение_фильтры!G45*INT((P_horizon-1)/N_battery_life)</f>
        <v>0</v>
      </c>
      <c r="H27" s="57" t="n">
        <f aca="false">3_Решение_фильтры!H45*INT((P_horizon-1)/N_battery_life)</f>
        <v>1</v>
      </c>
    </row>
    <row r="28" customFormat="false" ht="22.35" hidden="false" customHeight="false" outlineLevel="0" collapsed="false">
      <c r="A28" s="18" t="s">
        <v>869</v>
      </c>
      <c r="B28" s="15" t="s">
        <v>870</v>
      </c>
      <c r="C28" s="15" t="s">
        <v>215</v>
      </c>
      <c r="D28" s="18" t="s">
        <v>871</v>
      </c>
      <c r="E28" s="51"/>
      <c r="F28" s="64" t="n">
        <f aca="false">7_CAPEX!F15*N_battery_share</f>
        <v>8170000</v>
      </c>
      <c r="G28" s="64" t="n">
        <f aca="false">7_CAPEX!G15*N_battery_share</f>
        <v>0</v>
      </c>
      <c r="H28" s="64" t="n">
        <f aca="false">7_CAPEX!H15*N_battery_share</f>
        <v>4320000</v>
      </c>
    </row>
    <row r="29" customFormat="false" ht="22.35" hidden="false" customHeight="false" outlineLevel="0" collapsed="false">
      <c r="A29" s="18" t="s">
        <v>872</v>
      </c>
      <c r="B29" s="15" t="s">
        <v>873</v>
      </c>
      <c r="C29" s="15" t="s">
        <v>215</v>
      </c>
      <c r="D29" s="18" t="s">
        <v>874</v>
      </c>
      <c r="E29" s="51"/>
      <c r="F29" s="64" t="n">
        <f aca="false">F23*P_horizon-F27*F28</f>
        <v>75938475</v>
      </c>
      <c r="G29" s="64" t="n">
        <f aca="false">G23*P_horizon-G27*G28</f>
        <v>-9846525</v>
      </c>
      <c r="H29" s="64" t="n">
        <f aca="false">H23*P_horizon-H27*H28</f>
        <v>72631200</v>
      </c>
    </row>
    <row r="30" customFormat="false" ht="32.8" hidden="false" customHeight="false" outlineLevel="0" collapsed="false">
      <c r="A30" s="18" t="s">
        <v>875</v>
      </c>
      <c r="B30" s="53" t="s">
        <v>876</v>
      </c>
      <c r="C30" s="15" t="s">
        <v>688</v>
      </c>
      <c r="D30" s="18" t="s">
        <v>877</v>
      </c>
      <c r="E30" s="51"/>
      <c r="F30" s="63" t="n">
        <f aca="false">IF(7_CAPEX!F25&gt;0,F29/7_CAPEX!F25,"—")</f>
        <v>0.668788046120353</v>
      </c>
      <c r="G30" s="63" t="n">
        <f aca="false">IF(7_CAPEX!G25&gt;0,G29/7_CAPEX!G25,"—")</f>
        <v>-0.854955717634801</v>
      </c>
      <c r="H30" s="63" t="n">
        <f aca="false">IF(7_CAPEX!H25&gt;0,H29/7_CAPEX!H25,"—")</f>
        <v>1.17899370824162</v>
      </c>
    </row>
    <row r="31" customFormat="false" ht="43.25" hidden="false" customHeight="false" outlineLevel="0" collapsed="false">
      <c r="A31" s="18" t="s">
        <v>878</v>
      </c>
      <c r="B31" s="15" t="s">
        <v>879</v>
      </c>
      <c r="C31" s="15" t="s">
        <v>688</v>
      </c>
      <c r="D31" s="18" t="s">
        <v>880</v>
      </c>
      <c r="E31" s="51"/>
      <c r="F31" s="66" t="n">
        <f aca="false">IF(7_CAPEX!F25&gt;0,(F29-7_CAPEX!F25)/7_CAPEX!F25,"—")</f>
        <v>-0.331211953879647</v>
      </c>
      <c r="G31" s="66" t="n">
        <f aca="false">IF(7_CAPEX!G25&gt;0,(G29-7_CAPEX!G25)/7_CAPEX!G25,"—")</f>
        <v>-1.8549557176348</v>
      </c>
      <c r="H31" s="66" t="n">
        <f aca="false">IF(7_CAPEX!H25&gt;0,(H29-7_CAPEX!H25)/7_CAPEX!H25,"—")</f>
        <v>0.178993708241619</v>
      </c>
    </row>
    <row r="32" customFormat="false" ht="32.8" hidden="false" customHeight="false" outlineLevel="0" collapsed="false">
      <c r="A32" s="18" t="s">
        <v>881</v>
      </c>
      <c r="B32" s="53" t="s">
        <v>882</v>
      </c>
      <c r="C32" s="15" t="s">
        <v>215</v>
      </c>
      <c r="D32" s="18" t="s">
        <v>883</v>
      </c>
      <c r="E32" s="51"/>
      <c r="F32" s="54" t="n">
        <f aca="false">7_CAPEX!F25+8_OPEX!F24*P_horizon+F27*F28</f>
        <v>215721525</v>
      </c>
      <c r="G32" s="54" t="n">
        <f aca="false">7_CAPEX!G25+8_OPEX!G24*P_horizon+G27*G28</f>
        <v>199477125</v>
      </c>
      <c r="H32" s="54" t="n">
        <f aca="false">7_CAPEX!H25+8_OPEX!H24*P_horizon+H27*H28</f>
        <v>122558400</v>
      </c>
    </row>
    <row r="33" customFormat="false" ht="32.8" hidden="false" customHeight="false" outlineLevel="0" collapsed="false">
      <c r="A33" s="18" t="s">
        <v>884</v>
      </c>
      <c r="B33" s="15" t="s">
        <v>885</v>
      </c>
      <c r="C33" s="15" t="s">
        <v>215</v>
      </c>
      <c r="D33" s="18" t="s">
        <v>886</v>
      </c>
      <c r="E33" s="51"/>
      <c r="F33" s="64" t="n">
        <f aca="false">7_CAPEX!F25+F19*P_horizon+F27*F28</f>
        <v>271967925</v>
      </c>
      <c r="G33" s="64" t="n">
        <f aca="false">7_CAPEX!G25+G19*P_horizon+G27*G28</f>
        <v>255723525</v>
      </c>
      <c r="H33" s="64" t="n">
        <f aca="false">7_CAPEX!H25+H19*P_horizon+H27*H28</f>
        <v>223333200</v>
      </c>
    </row>
    <row r="34" customFormat="false" ht="15" hidden="false" customHeight="false" outlineLevel="0" collapsed="false">
      <c r="A34" s="18" t="s">
        <v>887</v>
      </c>
      <c r="B34" s="53" t="s">
        <v>888</v>
      </c>
      <c r="C34" s="15" t="s">
        <v>215</v>
      </c>
      <c r="D34" s="18" t="s">
        <v>889</v>
      </c>
      <c r="E34" s="51"/>
      <c r="F34" s="54" t="n">
        <f aca="false">F33-6_База!F15</f>
        <v>37607925</v>
      </c>
      <c r="G34" s="54" t="n">
        <f aca="false">G33-6_База!F15</f>
        <v>21363525</v>
      </c>
      <c r="H34" s="54" t="n">
        <f aca="false">H33-6_База!F15</f>
        <v>-11026800</v>
      </c>
    </row>
    <row r="35" customFormat="false" ht="105.95" hidden="false" customHeight="false" outlineLevel="0" collapsed="false">
      <c r="A35" s="18" t="s">
        <v>890</v>
      </c>
      <c r="B35" s="53" t="s">
        <v>891</v>
      </c>
      <c r="C35" s="15"/>
      <c r="D35" s="18" t="s">
        <v>892</v>
      </c>
      <c r="E35" s="51"/>
      <c r="F35" s="38" t="str">
        <f aca="false">IF(3_Решение_фильтры!F43=0,"Не применимо",IF(F23&lt;=0,"Не окупается",IF(F26&lt;=N_pb_good,"Высокая целесообразность",IF(F26&lt;=N_pb_mid,"Средняя — рекомендован пилот","Низкая — требует уточнения данных"))))</f>
        <v>Низкая — требует уточнения данных</v>
      </c>
      <c r="G35" s="38" t="str">
        <f aca="false">IF(3_Решение_фильтры!G43=0,"Не применимо",IF(G23&lt;=0,"Не окупается",IF(G26&lt;=N_pb_good,"Высокая целесообразность",IF(G26&lt;=N_pb_mid,"Средняя — рекомендован пилот","Низкая — требует уточнения данных"))))</f>
        <v>Не окупается</v>
      </c>
      <c r="H35" s="38" t="str">
        <f aca="false">IF(3_Решение_фильтры!H43=0,"Не применимо",IF(H23&lt;=0,"Не окупается",IF(H26&lt;=N_pb_good,"Высокая целесообразность",IF(H26&lt;=N_pb_mid,"Средняя — рекомендован пилот","Низкая — требует уточнения данных"))))</f>
        <v>Средняя — рекомендован пилот</v>
      </c>
    </row>
    <row r="36" customFormat="false" ht="158.2" hidden="false" customHeight="false" outlineLevel="0" collapsed="false">
      <c r="A36" s="18" t="s">
        <v>893</v>
      </c>
      <c r="B36" s="15" t="s">
        <v>894</v>
      </c>
      <c r="C36" s="15"/>
      <c r="D36" s="18" t="s">
        <v>895</v>
      </c>
      <c r="E36" s="51"/>
      <c r="F36" s="52" t="str">
        <f aca="false">IF(3_Решение_фильтры!F19&lt;&gt;"operation","Зрелость: "&amp;3_Решение_фильтры!F19&amp;"; ","")&amp;IF(3_Решение_фильтры!F20&lt;&gt;"Да","ТТХ требуют подтверждения; ","")&amp;IF(7_CAPEX!F26="Превышает бюджет","CAPEX выше бюджета; ","")&amp;IF(5_Парк!F28&lt;&gt;"ОК","мощность сети; ","")&amp;IF(5_Парк!F26&lt;0.3,"парк рассчитан на пик (низкая средняя загрузка); ","")</f>
        <v>Зрелость: piloting; ТТХ требуют подтверждения; CAPEX выше бюджета; </v>
      </c>
      <c r="G36" s="52" t="str">
        <f aca="false">IF(3_Решение_фильтры!G19&lt;&gt;"operation","Зрелость: "&amp;3_Решение_фильтры!G19&amp;"; ","")&amp;IF(3_Решение_фильтры!G20&lt;&gt;"Да","ТТХ требуют подтверждения; ","")&amp;IF(7_CAPEX!G26="Превышает бюджет","CAPEX выше бюджета; ","")&amp;IF(5_Парк!G28&lt;&gt;"ОК","мощность сети; ","")&amp;IF(5_Парк!G26&lt;0.3,"парк рассчитан на пик (низкая средняя загрузка); ","")</f>
        <v>Зрелость: piloting; ТТХ требуют подтверждения; </v>
      </c>
      <c r="H36" s="52" t="str">
        <f aca="false">IF(3_Решение_фильтры!H19&lt;&gt;"operation","Зрелость: "&amp;3_Решение_фильтры!H19&amp;"; ","")&amp;IF(3_Решение_фильтры!H20&lt;&gt;"Да","ТТХ требуют подтверждения; ","")&amp;IF(7_CAPEX!H26="Превышает бюджет","CAPEX выше бюджета; ","")&amp;IF(5_Парк!H28&lt;&gt;"ОК","мощность сети; ","")&amp;IF(5_Парк!H26&lt;0.3,"парк рассчитан на пик (низкая средняя загрузка); ","")</f>
        <v/>
      </c>
    </row>
    <row r="38" customFormat="false" ht="18" hidden="false" customHeight="true" outlineLevel="0" collapsed="false">
      <c r="A38" s="44" t="s">
        <v>605</v>
      </c>
      <c r="B38" s="44"/>
      <c r="C38" s="44"/>
      <c r="D38" s="44"/>
      <c r="E38" s="44"/>
      <c r="F38" s="44"/>
      <c r="G38" s="44"/>
      <c r="H38" s="44"/>
      <c r="I38" s="44"/>
    </row>
    <row r="39" customFormat="false" ht="48" hidden="false" customHeight="true" outlineLevel="0" collapsed="false">
      <c r="B39" s="59" t="s">
        <v>896</v>
      </c>
      <c r="C39" s="59"/>
      <c r="D39" s="59"/>
      <c r="E39" s="59"/>
      <c r="F39" s="59"/>
      <c r="G39" s="59"/>
      <c r="H39" s="59"/>
    </row>
  </sheetData>
  <mergeCells count="1">
    <mergeCell ref="B39:H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4"/>
    <col collapsed="false" customWidth="true" hidden="false" outlineLevel="0" max="11" min="3" style="0" width="17"/>
  </cols>
  <sheetData>
    <row r="1" customFormat="false" ht="17.35" hidden="false" customHeight="false" outlineLevel="0" collapsed="false">
      <c r="A1" s="1" t="s">
        <v>897</v>
      </c>
    </row>
    <row r="2" customFormat="false" ht="15" hidden="false" customHeight="false" outlineLevel="0" collapsed="false">
      <c r="A2" s="2" t="s">
        <v>898</v>
      </c>
    </row>
    <row r="4" customFormat="false" ht="31.5" hidden="false" customHeight="true" outlineLevel="0" collapsed="false">
      <c r="A4" s="5"/>
      <c r="B4" s="5" t="s">
        <v>899</v>
      </c>
      <c r="C4" s="5" t="s">
        <v>900</v>
      </c>
      <c r="D4" s="5" t="s">
        <v>901</v>
      </c>
      <c r="E4" s="5" t="s">
        <v>902</v>
      </c>
      <c r="F4" s="5" t="s">
        <v>903</v>
      </c>
      <c r="G4" s="5" t="s">
        <v>904</v>
      </c>
      <c r="H4" s="5" t="s">
        <v>905</v>
      </c>
      <c r="I4" s="5" t="s">
        <v>906</v>
      </c>
      <c r="J4" s="5" t="s">
        <v>907</v>
      </c>
      <c r="K4" s="5" t="s">
        <v>908</v>
      </c>
    </row>
    <row r="5" customFormat="false" ht="15" hidden="false" customHeight="false" outlineLevel="0" collapsed="false">
      <c r="B5" s="14" t="n">
        <v>0</v>
      </c>
      <c r="C5" s="67" t="n">
        <f aca="false">-7_CAPEX!F25</f>
        <v>-113546400</v>
      </c>
      <c r="D5" s="67" t="n">
        <f aca="false">C5</f>
        <v>-113546400</v>
      </c>
      <c r="E5" s="67" t="n">
        <f aca="false">C5</f>
        <v>-113546400</v>
      </c>
      <c r="F5" s="67" t="n">
        <f aca="false">-7_CAPEX!G25</f>
        <v>-11517000</v>
      </c>
      <c r="G5" s="67" t="n">
        <f aca="false">F5</f>
        <v>-11517000</v>
      </c>
      <c r="H5" s="67" t="n">
        <f aca="false">F5</f>
        <v>-11517000</v>
      </c>
      <c r="I5" s="67" t="n">
        <f aca="false">-7_CAPEX!H25</f>
        <v>-61604400</v>
      </c>
      <c r="J5" s="67" t="n">
        <f aca="false">I5</f>
        <v>-61604400</v>
      </c>
      <c r="K5" s="67" t="n">
        <f aca="false">I5</f>
        <v>-61604400</v>
      </c>
    </row>
    <row r="6" customFormat="false" ht="15" hidden="false" customHeight="false" outlineLevel="0" collapsed="false">
      <c r="B6" s="14" t="n">
        <v>1</v>
      </c>
      <c r="C6" s="67" t="n">
        <f aca="false">IF(1&lt;=P_horizon,9_Эффект!F23-IF(AND(3_Решение_фильтры!F45=1,MOD(1,N_battery_life)=0,1&lt;=P_horizon-1),9_Эффект!F28,0)+IF(1=P_horizon,7_CAPEX!F15*N_residual_pct,0),0)</f>
        <v>16821695</v>
      </c>
      <c r="D6" s="67" t="n">
        <f aca="false">D5+C6</f>
        <v>-96724705</v>
      </c>
      <c r="E6" s="67" t="n">
        <f aca="false">E5+C6/(1+N_discount)^1</f>
        <v>-98918839.1304348</v>
      </c>
      <c r="F6" s="67" t="n">
        <f aca="false">IF(1&lt;=P_horizon,9_Эффект!G23-IF(AND(3_Решение_фильтры!G45=1,MOD(1,N_battery_life)=0,1&lt;=P_horizon-1),9_Эффект!G28,0)+IF(1=P_horizon,7_CAPEX!G15*N_residual_pct,0),0)</f>
        <v>-1969305</v>
      </c>
      <c r="G6" s="67" t="n">
        <f aca="false">G5+F6</f>
        <v>-13486305</v>
      </c>
      <c r="H6" s="67" t="n">
        <f aca="false">H5+F6/(1+N_discount)^1</f>
        <v>-13229439.1304348</v>
      </c>
      <c r="I6" s="67" t="n">
        <f aca="false">IF(1&lt;=P_horizon,9_Эффект!H23-IF(AND(3_Решение_фильтры!H45=1,MOD(1,N_battery_life)=0,1&lt;=P_horizon-1),9_Эффект!H28,0)+IF(1=P_horizon,7_CAPEX!H15*N_residual_pct,0),0)</f>
        <v>15390240</v>
      </c>
      <c r="J6" s="67" t="n">
        <f aca="false">J5+I6</f>
        <v>-46214160</v>
      </c>
      <c r="K6" s="67" t="n">
        <f aca="false">K5+I6/(1+N_discount)^1</f>
        <v>-48221582.6086957</v>
      </c>
    </row>
    <row r="7" customFormat="false" ht="15" hidden="false" customHeight="false" outlineLevel="0" collapsed="false">
      <c r="B7" s="14" t="n">
        <v>2</v>
      </c>
      <c r="C7" s="67" t="n">
        <f aca="false">IF(2&lt;=P_horizon,9_Эффект!F23-IF(AND(3_Решение_фильтры!F45=1,MOD(2,N_battery_life)=0,2&lt;=P_horizon-1),9_Эффект!F28,0)+IF(2=P_horizon,7_CAPEX!F15*N_residual_pct,0),0)</f>
        <v>16821695</v>
      </c>
      <c r="D7" s="67" t="n">
        <f aca="false">D6+C7</f>
        <v>-79903010</v>
      </c>
      <c r="E7" s="67" t="n">
        <f aca="false">E6+C7/(1+N_discount)^2</f>
        <v>-86199220.9829868</v>
      </c>
      <c r="F7" s="67" t="n">
        <f aca="false">IF(2&lt;=P_horizon,9_Эффект!G23-IF(AND(3_Решение_фильтры!G45=1,MOD(2,N_battery_life)=0,2&lt;=P_horizon-1),9_Эффект!G28,0)+IF(2=P_horizon,7_CAPEX!G15*N_residual_pct,0),0)</f>
        <v>-1969305</v>
      </c>
      <c r="G7" s="67" t="n">
        <f aca="false">G6+F7</f>
        <v>-15455610</v>
      </c>
      <c r="H7" s="67" t="n">
        <f aca="false">H6+F7/(1+N_discount)^2</f>
        <v>-14718516.6351607</v>
      </c>
      <c r="I7" s="67" t="n">
        <f aca="false">IF(2&lt;=P_horizon,9_Эффект!H23-IF(AND(3_Решение_фильтры!H45=1,MOD(2,N_battery_life)=0,2&lt;=P_horizon-1),9_Эффект!H28,0)+IF(2=P_horizon,7_CAPEX!H15*N_residual_pct,0),0)</f>
        <v>15390240</v>
      </c>
      <c r="J7" s="67" t="n">
        <f aca="false">J6+I7</f>
        <v>-30823920</v>
      </c>
      <c r="K7" s="67" t="n">
        <f aca="false">K6+I7/(1+N_discount)^2</f>
        <v>-36584350.094518</v>
      </c>
    </row>
    <row r="8" customFormat="false" ht="15" hidden="false" customHeight="false" outlineLevel="0" collapsed="false">
      <c r="B8" s="14" t="n">
        <v>3</v>
      </c>
      <c r="C8" s="67" t="n">
        <f aca="false">IF(3&lt;=P_horizon,9_Эффект!F23-IF(AND(3_Решение_фильтры!F45=1,MOD(3,N_battery_life)=0,3&lt;=P_horizon-1),9_Эффект!F28,0)+IF(3=P_horizon,7_CAPEX!F15*N_residual_pct,0),0)</f>
        <v>16821695</v>
      </c>
      <c r="D8" s="67" t="n">
        <f aca="false">D7+C8</f>
        <v>-63081315</v>
      </c>
      <c r="E8" s="67" t="n">
        <f aca="false">E7+C8/(1+N_discount)^3</f>
        <v>-75138683.4634668</v>
      </c>
      <c r="F8" s="67" t="n">
        <f aca="false">IF(3&lt;=P_horizon,9_Эффект!G23-IF(AND(3_Решение_фильтры!G45=1,MOD(3,N_battery_life)=0,3&lt;=P_horizon-1),9_Эффект!G28,0)+IF(3=P_horizon,7_CAPEX!G15*N_residual_pct,0),0)</f>
        <v>-1969305</v>
      </c>
      <c r="G8" s="67" t="n">
        <f aca="false">G7+F8</f>
        <v>-17424915</v>
      </c>
      <c r="H8" s="67" t="n">
        <f aca="false">H7+F8/(1+N_discount)^3</f>
        <v>-16013366.6392702</v>
      </c>
      <c r="I8" s="67" t="n">
        <f aca="false">IF(3&lt;=P_horizon,9_Эффект!H23-IF(AND(3_Решение_фильтры!H45=1,MOD(3,N_battery_life)=0,3&lt;=P_horizon-1),9_Эффект!H28,0)+IF(3=P_horizon,7_CAPEX!H15*N_residual_pct,0),0)</f>
        <v>15390240</v>
      </c>
      <c r="J8" s="67" t="n">
        <f aca="false">J7+I8</f>
        <v>-15433680</v>
      </c>
      <c r="K8" s="67" t="n">
        <f aca="false">K7+I8/(1+N_discount)^3</f>
        <v>-26465017.4734939</v>
      </c>
    </row>
    <row r="9" customFormat="false" ht="15" hidden="false" customHeight="false" outlineLevel="0" collapsed="false">
      <c r="B9" s="14" t="n">
        <v>4</v>
      </c>
      <c r="C9" s="67" t="n">
        <f aca="false">IF(4&lt;=P_horizon,9_Эффект!F23-IF(AND(3_Решение_фильтры!F45=1,MOD(4,N_battery_life)=0,4&lt;=P_horizon-1),9_Эффект!F28,0)+IF(4=P_horizon,7_CAPEX!F15*N_residual_pct,0),0)</f>
        <v>8651695</v>
      </c>
      <c r="D9" s="67" t="n">
        <f aca="false">D8+C9</f>
        <v>-54429620</v>
      </c>
      <c r="E9" s="67" t="n">
        <f aca="false">E8+C9/(1+N_discount)^4</f>
        <v>-70192048.7673357</v>
      </c>
      <c r="F9" s="67" t="n">
        <f aca="false">IF(4&lt;=P_horizon,9_Эффект!G23-IF(AND(3_Решение_фильтры!G45=1,MOD(4,N_battery_life)=0,4&lt;=P_horizon-1),9_Эффект!G28,0)+IF(4=P_horizon,7_CAPEX!G15*N_residual_pct,0),0)</f>
        <v>-1969305</v>
      </c>
      <c r="G9" s="67" t="n">
        <f aca="false">G8+F9</f>
        <v>-19394220</v>
      </c>
      <c r="H9" s="67" t="n">
        <f aca="false">H8+F9/(1+N_discount)^4</f>
        <v>-17139323.1645827</v>
      </c>
      <c r="I9" s="67" t="n">
        <f aca="false">IF(4&lt;=P_horizon,9_Эффект!H23-IF(AND(3_Решение_фильтры!H45=1,MOD(4,N_battery_life)=0,4&lt;=P_horizon-1),9_Эффект!H28,0)+IF(4=P_horizon,7_CAPEX!H15*N_residual_pct,0),0)</f>
        <v>11070240</v>
      </c>
      <c r="J9" s="67" t="n">
        <f aca="false">J8+I9</f>
        <v>-4363440</v>
      </c>
      <c r="K9" s="67" t="n">
        <f aca="false">K8+I9/(1+N_discount)^4</f>
        <v>-20135571.8240001</v>
      </c>
    </row>
    <row r="10" customFormat="false" ht="15" hidden="false" customHeight="false" outlineLevel="0" collapsed="false">
      <c r="B10" s="14" t="n">
        <v>5</v>
      </c>
      <c r="C10" s="67" t="n">
        <f aca="false">IF(5&lt;=P_horizon,9_Эффект!F23-IF(AND(3_Решение_фильтры!F45=1,MOD(5,N_battery_life)=0,5&lt;=P_horizon-1),9_Эффект!F28,0)+IF(5=P_horizon,7_CAPEX!F15*N_residual_pct,0),0)</f>
        <v>16821695</v>
      </c>
      <c r="D10" s="67" t="n">
        <f aca="false">D9+C10</f>
        <v>-37607925</v>
      </c>
      <c r="E10" s="67" t="n">
        <f aca="false">E9+C10/(1+N_discount)^5</f>
        <v>-61828693.3650522</v>
      </c>
      <c r="F10" s="67" t="n">
        <f aca="false">IF(5&lt;=P_horizon,9_Эффект!G23-IF(AND(3_Решение_фильтры!G45=1,MOD(5,N_battery_life)=0,5&lt;=P_horizon-1),9_Эффект!G28,0)+IF(5=P_horizon,7_CAPEX!G15*N_residual_pct,0),0)</f>
        <v>-1969305</v>
      </c>
      <c r="G10" s="67" t="n">
        <f aca="false">G9+F10</f>
        <v>-21363525</v>
      </c>
      <c r="H10" s="67" t="n">
        <f aca="false">H9+F10/(1+N_discount)^5</f>
        <v>-18118415.7952893</v>
      </c>
      <c r="I10" s="67" t="n">
        <f aca="false">IF(5&lt;=P_horizon,9_Эффект!H23-IF(AND(3_Решение_фильтры!H45=1,MOD(5,N_battery_life)=0,5&lt;=P_horizon-1),9_Эффект!H28,0)+IF(5=P_horizon,7_CAPEX!H15*N_residual_pct,0),0)</f>
        <v>15390240</v>
      </c>
      <c r="J10" s="67" t="n">
        <f aca="false">J9+I10</f>
        <v>11026800</v>
      </c>
      <c r="K10" s="67" t="n">
        <f aca="false">K9+I10/(1+N_discount)^5</f>
        <v>-12483902.5453429</v>
      </c>
    </row>
    <row r="11" customFormat="false" ht="15" hidden="false" customHeight="false" outlineLevel="0" collapsed="false">
      <c r="B11" s="14" t="n">
        <v>6</v>
      </c>
      <c r="C11" s="67" t="n">
        <f aca="false">IF(6&lt;=P_horizon,9_Эффект!F23-IF(AND(3_Решение_фильтры!F45=1,MOD(6,N_battery_life)=0,6&lt;=P_horizon-1),9_Эффект!F28,0)+IF(6=P_horizon,7_CAPEX!F15*N_residual_pct,0),0)</f>
        <v>0</v>
      </c>
      <c r="D11" s="67" t="n">
        <f aca="false">D10+C11</f>
        <v>-37607925</v>
      </c>
      <c r="E11" s="67" t="n">
        <f aca="false">E10+C11/(1+N_discount)^6</f>
        <v>-61828693.3650522</v>
      </c>
      <c r="F11" s="67" t="n">
        <f aca="false">IF(6&lt;=P_horizon,9_Эффект!G23-IF(AND(3_Решение_фильтры!G45=1,MOD(6,N_battery_life)=0,6&lt;=P_horizon-1),9_Эффект!G28,0)+IF(6=P_horizon,7_CAPEX!G15*N_residual_pct,0),0)</f>
        <v>0</v>
      </c>
      <c r="G11" s="67" t="n">
        <f aca="false">G10+F11</f>
        <v>-21363525</v>
      </c>
      <c r="H11" s="67" t="n">
        <f aca="false">H10+F11/(1+N_discount)^6</f>
        <v>-18118415.7952893</v>
      </c>
      <c r="I11" s="67" t="n">
        <f aca="false">IF(6&lt;=P_horizon,9_Эффект!H23-IF(AND(3_Решение_фильтры!H45=1,MOD(6,N_battery_life)=0,6&lt;=P_horizon-1),9_Эффект!H28,0)+IF(6=P_horizon,7_CAPEX!H15*N_residual_pct,0),0)</f>
        <v>0</v>
      </c>
      <c r="J11" s="67" t="n">
        <f aca="false">J10+I11</f>
        <v>11026800</v>
      </c>
      <c r="K11" s="67" t="n">
        <f aca="false">K10+I11/(1+N_discount)^6</f>
        <v>-12483902.5453429</v>
      </c>
    </row>
    <row r="12" customFormat="false" ht="15" hidden="false" customHeight="false" outlineLevel="0" collapsed="false">
      <c r="B12" s="14" t="n">
        <v>7</v>
      </c>
      <c r="C12" s="67" t="n">
        <f aca="false">IF(7&lt;=P_horizon,9_Эффект!F23-IF(AND(3_Решение_фильтры!F45=1,MOD(7,N_battery_life)=0,7&lt;=P_horizon-1),9_Эффект!F28,0)+IF(7=P_horizon,7_CAPEX!F15*N_residual_pct,0),0)</f>
        <v>0</v>
      </c>
      <c r="D12" s="67" t="n">
        <f aca="false">D11+C12</f>
        <v>-37607925</v>
      </c>
      <c r="E12" s="67" t="n">
        <f aca="false">E11+C12/(1+N_discount)^7</f>
        <v>-61828693.3650522</v>
      </c>
      <c r="F12" s="67" t="n">
        <f aca="false">IF(7&lt;=P_horizon,9_Эффект!G23-IF(AND(3_Решение_фильтры!G45=1,MOD(7,N_battery_life)=0,7&lt;=P_horizon-1),9_Эффект!G28,0)+IF(7=P_horizon,7_CAPEX!G15*N_residual_pct,0),0)</f>
        <v>0</v>
      </c>
      <c r="G12" s="67" t="n">
        <f aca="false">G11+F12</f>
        <v>-21363525</v>
      </c>
      <c r="H12" s="67" t="n">
        <f aca="false">H11+F12/(1+N_discount)^7</f>
        <v>-18118415.7952893</v>
      </c>
      <c r="I12" s="67" t="n">
        <f aca="false">IF(7&lt;=P_horizon,9_Эффект!H23-IF(AND(3_Решение_фильтры!H45=1,MOD(7,N_battery_life)=0,7&lt;=P_horizon-1),9_Эффект!H28,0)+IF(7=P_horizon,7_CAPEX!H15*N_residual_pct,0),0)</f>
        <v>0</v>
      </c>
      <c r="J12" s="67" t="n">
        <f aca="false">J11+I12</f>
        <v>11026800</v>
      </c>
      <c r="K12" s="67" t="n">
        <f aca="false">K11+I12/(1+N_discount)^7</f>
        <v>-12483902.5453429</v>
      </c>
    </row>
    <row r="13" customFormat="false" ht="15" hidden="false" customHeight="false" outlineLevel="0" collapsed="false">
      <c r="B13" s="14" t="n">
        <v>8</v>
      </c>
      <c r="C13" s="67" t="n">
        <f aca="false">IF(8&lt;=P_horizon,9_Эффект!F23-IF(AND(3_Решение_фильтры!F45=1,MOD(8,N_battery_life)=0,8&lt;=P_horizon-1),9_Эффект!F28,0)+IF(8=P_horizon,7_CAPEX!F15*N_residual_pct,0),0)</f>
        <v>0</v>
      </c>
      <c r="D13" s="67" t="n">
        <f aca="false">D12+C13</f>
        <v>-37607925</v>
      </c>
      <c r="E13" s="67" t="n">
        <f aca="false">E12+C13/(1+N_discount)^8</f>
        <v>-61828693.3650522</v>
      </c>
      <c r="F13" s="67" t="n">
        <f aca="false">IF(8&lt;=P_horizon,9_Эффект!G23-IF(AND(3_Решение_фильтры!G45=1,MOD(8,N_battery_life)=0,8&lt;=P_horizon-1),9_Эффект!G28,0)+IF(8=P_horizon,7_CAPEX!G15*N_residual_pct,0),0)</f>
        <v>0</v>
      </c>
      <c r="G13" s="67" t="n">
        <f aca="false">G12+F13</f>
        <v>-21363525</v>
      </c>
      <c r="H13" s="67" t="n">
        <f aca="false">H12+F13/(1+N_discount)^8</f>
        <v>-18118415.7952893</v>
      </c>
      <c r="I13" s="67" t="n">
        <f aca="false">IF(8&lt;=P_horizon,9_Эффект!H23-IF(AND(3_Решение_фильтры!H45=1,MOD(8,N_battery_life)=0,8&lt;=P_horizon-1),9_Эффект!H28,0)+IF(8=P_horizon,7_CAPEX!H15*N_residual_pct,0),0)</f>
        <v>0</v>
      </c>
      <c r="J13" s="67" t="n">
        <f aca="false">J12+I13</f>
        <v>11026800</v>
      </c>
      <c r="K13" s="67" t="n">
        <f aca="false">K12+I13/(1+N_discount)^8</f>
        <v>-12483902.5453429</v>
      </c>
    </row>
    <row r="14" customFormat="false" ht="15" hidden="false" customHeight="false" outlineLevel="0" collapsed="false">
      <c r="B14" s="14" t="n">
        <v>9</v>
      </c>
      <c r="C14" s="67" t="n">
        <f aca="false">IF(9&lt;=P_horizon,9_Эффект!F23-IF(AND(3_Решение_фильтры!F45=1,MOD(9,N_battery_life)=0,9&lt;=P_horizon-1),9_Эффект!F28,0)+IF(9=P_horizon,7_CAPEX!F15*N_residual_pct,0),0)</f>
        <v>0</v>
      </c>
      <c r="D14" s="67" t="n">
        <f aca="false">D13+C14</f>
        <v>-37607925</v>
      </c>
      <c r="E14" s="67" t="n">
        <f aca="false">E13+C14/(1+N_discount)^9</f>
        <v>-61828693.3650522</v>
      </c>
      <c r="F14" s="67" t="n">
        <f aca="false">IF(9&lt;=P_horizon,9_Эффект!G23-IF(AND(3_Решение_фильтры!G45=1,MOD(9,N_battery_life)=0,9&lt;=P_horizon-1),9_Эффект!G28,0)+IF(9=P_horizon,7_CAPEX!G15*N_residual_pct,0),0)</f>
        <v>0</v>
      </c>
      <c r="G14" s="67" t="n">
        <f aca="false">G13+F14</f>
        <v>-21363525</v>
      </c>
      <c r="H14" s="67" t="n">
        <f aca="false">H13+F14/(1+N_discount)^9</f>
        <v>-18118415.7952893</v>
      </c>
      <c r="I14" s="67" t="n">
        <f aca="false">IF(9&lt;=P_horizon,9_Эффект!H23-IF(AND(3_Решение_фильтры!H45=1,MOD(9,N_battery_life)=0,9&lt;=P_horizon-1),9_Эффект!H28,0)+IF(9=P_horizon,7_CAPEX!H15*N_residual_pct,0),0)</f>
        <v>0</v>
      </c>
      <c r="J14" s="67" t="n">
        <f aca="false">J13+I14</f>
        <v>11026800</v>
      </c>
      <c r="K14" s="67" t="n">
        <f aca="false">K13+I14/(1+N_discount)^9</f>
        <v>-12483902.5453429</v>
      </c>
    </row>
    <row r="15" customFormat="false" ht="15" hidden="false" customHeight="false" outlineLevel="0" collapsed="false">
      <c r="B15" s="14" t="n">
        <v>10</v>
      </c>
      <c r="C15" s="67" t="n">
        <f aca="false">IF(10&lt;=P_horizon,9_Эффект!F23-IF(AND(3_Решение_фильтры!F45=1,MOD(10,N_battery_life)=0,10&lt;=P_horizon-1),9_Эффект!F28,0)+IF(10=P_horizon,7_CAPEX!F15*N_residual_pct,0),0)</f>
        <v>0</v>
      </c>
      <c r="D15" s="67" t="n">
        <f aca="false">D14+C15</f>
        <v>-37607925</v>
      </c>
      <c r="E15" s="67" t="n">
        <f aca="false">E14+C15/(1+N_discount)^10</f>
        <v>-61828693.3650522</v>
      </c>
      <c r="F15" s="67" t="n">
        <f aca="false">IF(10&lt;=P_horizon,9_Эффект!G23-IF(AND(3_Решение_фильтры!G45=1,MOD(10,N_battery_life)=0,10&lt;=P_horizon-1),9_Эффект!G28,0)+IF(10=P_horizon,7_CAPEX!G15*N_residual_pct,0),0)</f>
        <v>0</v>
      </c>
      <c r="G15" s="67" t="n">
        <f aca="false">G14+F15</f>
        <v>-21363525</v>
      </c>
      <c r="H15" s="67" t="n">
        <f aca="false">H14+F15/(1+N_discount)^10</f>
        <v>-18118415.7952893</v>
      </c>
      <c r="I15" s="67" t="n">
        <f aca="false">IF(10&lt;=P_horizon,9_Эффект!H23-IF(AND(3_Решение_фильтры!H45=1,MOD(10,N_battery_life)=0,10&lt;=P_horizon-1),9_Эффект!H28,0)+IF(10=P_horizon,7_CAPEX!H15*N_residual_pct,0),0)</f>
        <v>0</v>
      </c>
      <c r="J15" s="67" t="n">
        <f aca="false">J14+I15</f>
        <v>11026800</v>
      </c>
      <c r="K15" s="67" t="n">
        <f aca="false">K14+I15/(1+N_discount)^10</f>
        <v>-12483902.5453429</v>
      </c>
    </row>
    <row r="16" customFormat="false" ht="15" hidden="false" customHeight="false" outlineLevel="0" collapsed="false">
      <c r="B16" s="14" t="n">
        <v>11</v>
      </c>
      <c r="C16" s="67" t="n">
        <f aca="false">IF(11&lt;=P_horizon,9_Эффект!F23-IF(AND(3_Решение_фильтры!F45=1,MOD(11,N_battery_life)=0,11&lt;=P_horizon-1),9_Эффект!F28,0)+IF(11=P_horizon,7_CAPEX!F15*N_residual_pct,0),0)</f>
        <v>0</v>
      </c>
      <c r="D16" s="67" t="n">
        <f aca="false">D15+C16</f>
        <v>-37607925</v>
      </c>
      <c r="E16" s="67" t="n">
        <f aca="false">E15+C16/(1+N_discount)^11</f>
        <v>-61828693.3650522</v>
      </c>
      <c r="F16" s="67" t="n">
        <f aca="false">IF(11&lt;=P_horizon,9_Эффект!G23-IF(AND(3_Решение_фильтры!G45=1,MOD(11,N_battery_life)=0,11&lt;=P_horizon-1),9_Эффект!G28,0)+IF(11=P_horizon,7_CAPEX!G15*N_residual_pct,0),0)</f>
        <v>0</v>
      </c>
      <c r="G16" s="67" t="n">
        <f aca="false">G15+F16</f>
        <v>-21363525</v>
      </c>
      <c r="H16" s="67" t="n">
        <f aca="false">H15+F16/(1+N_discount)^11</f>
        <v>-18118415.7952893</v>
      </c>
      <c r="I16" s="67" t="n">
        <f aca="false">IF(11&lt;=P_horizon,9_Эффект!H23-IF(AND(3_Решение_фильтры!H45=1,MOD(11,N_battery_life)=0,11&lt;=P_horizon-1),9_Эффект!H28,0)+IF(11=P_horizon,7_CAPEX!H15*N_residual_pct,0),0)</f>
        <v>0</v>
      </c>
      <c r="J16" s="67" t="n">
        <f aca="false">J15+I16</f>
        <v>11026800</v>
      </c>
      <c r="K16" s="67" t="n">
        <f aca="false">K15+I16/(1+N_discount)^11</f>
        <v>-12483902.5453429</v>
      </c>
    </row>
    <row r="17" customFormat="false" ht="15" hidden="false" customHeight="false" outlineLevel="0" collapsed="false">
      <c r="B17" s="14" t="n">
        <v>12</v>
      </c>
      <c r="C17" s="67" t="n">
        <f aca="false">IF(12&lt;=P_horizon,9_Эффект!F23-IF(AND(3_Решение_фильтры!F45=1,MOD(12,N_battery_life)=0,12&lt;=P_horizon-1),9_Эффект!F28,0)+IF(12=P_horizon,7_CAPEX!F15*N_residual_pct,0),0)</f>
        <v>0</v>
      </c>
      <c r="D17" s="67" t="n">
        <f aca="false">D16+C17</f>
        <v>-37607925</v>
      </c>
      <c r="E17" s="67" t="n">
        <f aca="false">E16+C17/(1+N_discount)^12</f>
        <v>-61828693.3650522</v>
      </c>
      <c r="F17" s="67" t="n">
        <f aca="false">IF(12&lt;=P_horizon,9_Эффект!G23-IF(AND(3_Решение_фильтры!G45=1,MOD(12,N_battery_life)=0,12&lt;=P_horizon-1),9_Эффект!G28,0)+IF(12=P_horizon,7_CAPEX!G15*N_residual_pct,0),0)</f>
        <v>0</v>
      </c>
      <c r="G17" s="67" t="n">
        <f aca="false">G16+F17</f>
        <v>-21363525</v>
      </c>
      <c r="H17" s="67" t="n">
        <f aca="false">H16+F17/(1+N_discount)^12</f>
        <v>-18118415.7952893</v>
      </c>
      <c r="I17" s="67" t="n">
        <f aca="false">IF(12&lt;=P_horizon,9_Эффект!H23-IF(AND(3_Решение_фильтры!H45=1,MOD(12,N_battery_life)=0,12&lt;=P_horizon-1),9_Эффект!H28,0)+IF(12=P_horizon,7_CAPEX!H15*N_residual_pct,0),0)</f>
        <v>0</v>
      </c>
      <c r="J17" s="67" t="n">
        <f aca="false">J16+I17</f>
        <v>11026800</v>
      </c>
      <c r="K17" s="67" t="n">
        <f aca="false">K16+I17/(1+N_discount)^12</f>
        <v>-12483902.5453429</v>
      </c>
    </row>
    <row r="18" customFormat="false" ht="15" hidden="false" customHeight="false" outlineLevel="0" collapsed="false">
      <c r="B18" s="14" t="n">
        <v>13</v>
      </c>
      <c r="C18" s="67" t="n">
        <f aca="false">IF(13&lt;=P_horizon,9_Эффект!F23-IF(AND(3_Решение_фильтры!F45=1,MOD(13,N_battery_life)=0,13&lt;=P_horizon-1),9_Эффект!F28,0)+IF(13=P_horizon,7_CAPEX!F15*N_residual_pct,0),0)</f>
        <v>0</v>
      </c>
      <c r="D18" s="67" t="n">
        <f aca="false">D17+C18</f>
        <v>-37607925</v>
      </c>
      <c r="E18" s="67" t="n">
        <f aca="false">E17+C18/(1+N_discount)^13</f>
        <v>-61828693.3650522</v>
      </c>
      <c r="F18" s="67" t="n">
        <f aca="false">IF(13&lt;=P_horizon,9_Эффект!G23-IF(AND(3_Решение_фильтры!G45=1,MOD(13,N_battery_life)=0,13&lt;=P_horizon-1),9_Эффект!G28,0)+IF(13=P_horizon,7_CAPEX!G15*N_residual_pct,0),0)</f>
        <v>0</v>
      </c>
      <c r="G18" s="67" t="n">
        <f aca="false">G17+F18</f>
        <v>-21363525</v>
      </c>
      <c r="H18" s="67" t="n">
        <f aca="false">H17+F18/(1+N_discount)^13</f>
        <v>-18118415.7952893</v>
      </c>
      <c r="I18" s="67" t="n">
        <f aca="false">IF(13&lt;=P_horizon,9_Эффект!H23-IF(AND(3_Решение_фильтры!H45=1,MOD(13,N_battery_life)=0,13&lt;=P_horizon-1),9_Эффект!H28,0)+IF(13=P_horizon,7_CAPEX!H15*N_residual_pct,0),0)</f>
        <v>0</v>
      </c>
      <c r="J18" s="67" t="n">
        <f aca="false">J17+I18</f>
        <v>11026800</v>
      </c>
      <c r="K18" s="67" t="n">
        <f aca="false">K17+I18/(1+N_discount)^13</f>
        <v>-12483902.5453429</v>
      </c>
    </row>
    <row r="19" customFormat="false" ht="15" hidden="false" customHeight="false" outlineLevel="0" collapsed="false">
      <c r="B19" s="14" t="n">
        <v>14</v>
      </c>
      <c r="C19" s="67" t="n">
        <f aca="false">IF(14&lt;=P_horizon,9_Эффект!F23-IF(AND(3_Решение_фильтры!F45=1,MOD(14,N_battery_life)=0,14&lt;=P_horizon-1),9_Эффект!F28,0)+IF(14=P_horizon,7_CAPEX!F15*N_residual_pct,0),0)</f>
        <v>0</v>
      </c>
      <c r="D19" s="67" t="n">
        <f aca="false">D18+C19</f>
        <v>-37607925</v>
      </c>
      <c r="E19" s="67" t="n">
        <f aca="false">E18+C19/(1+N_discount)^14</f>
        <v>-61828693.3650522</v>
      </c>
      <c r="F19" s="67" t="n">
        <f aca="false">IF(14&lt;=P_horizon,9_Эффект!G23-IF(AND(3_Решение_фильтры!G45=1,MOD(14,N_battery_life)=0,14&lt;=P_horizon-1),9_Эффект!G28,0)+IF(14=P_horizon,7_CAPEX!G15*N_residual_pct,0),0)</f>
        <v>0</v>
      </c>
      <c r="G19" s="67" t="n">
        <f aca="false">G18+F19</f>
        <v>-21363525</v>
      </c>
      <c r="H19" s="67" t="n">
        <f aca="false">H18+F19/(1+N_discount)^14</f>
        <v>-18118415.7952893</v>
      </c>
      <c r="I19" s="67" t="n">
        <f aca="false">IF(14&lt;=P_horizon,9_Эффект!H23-IF(AND(3_Решение_фильтры!H45=1,MOD(14,N_battery_life)=0,14&lt;=P_horizon-1),9_Эффект!H28,0)+IF(14=P_horizon,7_CAPEX!H15*N_residual_pct,0),0)</f>
        <v>0</v>
      </c>
      <c r="J19" s="67" t="n">
        <f aca="false">J18+I19</f>
        <v>11026800</v>
      </c>
      <c r="K19" s="67" t="n">
        <f aca="false">K18+I19/(1+N_discount)^14</f>
        <v>-12483902.5453429</v>
      </c>
    </row>
    <row r="20" customFormat="false" ht="15" hidden="false" customHeight="false" outlineLevel="0" collapsed="false">
      <c r="B20" s="14" t="n">
        <v>15</v>
      </c>
      <c r="C20" s="67" t="n">
        <f aca="false">IF(15&lt;=P_horizon,9_Эффект!F23-IF(AND(3_Решение_фильтры!F45=1,MOD(15,N_battery_life)=0,15&lt;=P_horizon-1),9_Эффект!F28,0)+IF(15=P_horizon,7_CAPEX!F15*N_residual_pct,0),0)</f>
        <v>0</v>
      </c>
      <c r="D20" s="67" t="n">
        <f aca="false">D19+C20</f>
        <v>-37607925</v>
      </c>
      <c r="E20" s="67" t="n">
        <f aca="false">E19+C20/(1+N_discount)^15</f>
        <v>-61828693.3650522</v>
      </c>
      <c r="F20" s="67" t="n">
        <f aca="false">IF(15&lt;=P_horizon,9_Эффект!G23-IF(AND(3_Решение_фильтры!G45=1,MOD(15,N_battery_life)=0,15&lt;=P_horizon-1),9_Эффект!G28,0)+IF(15=P_horizon,7_CAPEX!G15*N_residual_pct,0),0)</f>
        <v>0</v>
      </c>
      <c r="G20" s="67" t="n">
        <f aca="false">G19+F20</f>
        <v>-21363525</v>
      </c>
      <c r="H20" s="67" t="n">
        <f aca="false">H19+F20/(1+N_discount)^15</f>
        <v>-18118415.7952893</v>
      </c>
      <c r="I20" s="67" t="n">
        <f aca="false">IF(15&lt;=P_horizon,9_Эффект!H23-IF(AND(3_Решение_фильтры!H45=1,MOD(15,N_battery_life)=0,15&lt;=P_horizon-1),9_Эффект!H28,0)+IF(15=P_horizon,7_CAPEX!H15*N_residual_pct,0),0)</f>
        <v>0</v>
      </c>
      <c r="J20" s="67" t="n">
        <f aca="false">J19+I20</f>
        <v>11026800</v>
      </c>
      <c r="K20" s="67" t="n">
        <f aca="false">K19+I20/(1+N_discount)^15</f>
        <v>-12483902.5453429</v>
      </c>
    </row>
    <row r="21" customFormat="false" ht="15" hidden="false" customHeight="false" outlineLevel="0" collapsed="false">
      <c r="B21" s="3" t="s">
        <v>909</v>
      </c>
      <c r="E21" s="68" t="n">
        <f aca="false">E20</f>
        <v>-61828693.3650522</v>
      </c>
      <c r="H21" s="68" t="n">
        <f aca="false">H20</f>
        <v>-18118415.7952893</v>
      </c>
      <c r="K21" s="68" t="n">
        <f aca="false">K20</f>
        <v>-12483902.5453429</v>
      </c>
    </row>
    <row r="22" customFormat="false" ht="15" hidden="false" customHeight="false" outlineLevel="0" collapsed="false">
      <c r="B22" s="3" t="s">
        <v>910</v>
      </c>
      <c r="E22" s="69" t="n">
        <f aca="false">IFERROR(IRR(C5:C20),"—")</f>
        <v>-0.124234559710071</v>
      </c>
      <c r="H22" s="69" t="str">
        <f aca="false">IFERROR(IRR(F5:F20),"—")</f>
        <v>—</v>
      </c>
      <c r="K22" s="69" t="n">
        <f aca="false">IFERROR(IRR(I5:I20),"—")</f>
        <v>0.058798111211992</v>
      </c>
    </row>
    <row r="23" customFormat="false" ht="15" hidden="false" customHeight="false" outlineLevel="0" collapsed="false">
      <c r="B23" s="3" t="s">
        <v>911</v>
      </c>
      <c r="E23" s="68" t="str">
        <f aca="false">IF(E20&lt;0,"не окупается",COUNTIF(E5:E20,"&lt;0"))</f>
        <v>не окупается</v>
      </c>
      <c r="H23" s="68" t="str">
        <f aca="false">IF(H20&lt;0,"не окупается",COUNTIF(H5:H20,"&lt;0"))</f>
        <v>не окупается</v>
      </c>
      <c r="K23" s="68" t="str">
        <f aca="false">IF(K20&lt;0,"не окупается",COUNTIF(K5:K20,"&lt;0"))</f>
        <v>не окупается</v>
      </c>
    </row>
    <row r="25" customFormat="false" ht="15" hidden="false" customHeight="false" outlineLevel="0" collapsed="false">
      <c r="B25" s="2" t="s">
        <v>912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8" topLeftCell="C9" activePane="bottomRight" state="frozen"/>
      <selection pane="topLeft" activeCell="A1" activeCellId="0" sqref="A1"/>
      <selection pane="topRight" activeCell="C1" activeCellId="0" sqref="C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52"/>
    <col collapsed="false" customWidth="true" hidden="false" outlineLevel="0" max="23" min="3" style="0" width="15"/>
  </cols>
  <sheetData>
    <row r="1" customFormat="false" ht="17.35" hidden="false" customHeight="false" outlineLevel="0" collapsed="false">
      <c r="A1" s="1" t="s">
        <v>913</v>
      </c>
    </row>
    <row r="2" customFormat="false" ht="15" hidden="false" customHeight="false" outlineLevel="0" collapsed="false">
      <c r="A2" s="2" t="s">
        <v>914</v>
      </c>
    </row>
    <row r="4" customFormat="false" ht="15" hidden="false" customHeight="false" outlineLevel="0" collapsed="false">
      <c r="B4" s="50" t="s">
        <v>502</v>
      </c>
      <c r="C4" s="70" t="s">
        <v>520</v>
      </c>
      <c r="D4" s="70" t="s">
        <v>520</v>
      </c>
      <c r="E4" s="70" t="s">
        <v>520</v>
      </c>
      <c r="F4" s="70" t="s">
        <v>520</v>
      </c>
      <c r="G4" s="70" t="s">
        <v>520</v>
      </c>
      <c r="H4" s="70" t="s">
        <v>520</v>
      </c>
      <c r="I4" s="70" t="s">
        <v>520</v>
      </c>
      <c r="J4" s="70" t="s">
        <v>521</v>
      </c>
      <c r="K4" s="70" t="s">
        <v>521</v>
      </c>
      <c r="L4" s="70" t="s">
        <v>521</v>
      </c>
      <c r="M4" s="70" t="s">
        <v>521</v>
      </c>
      <c r="N4" s="70" t="s">
        <v>521</v>
      </c>
      <c r="O4" s="70" t="s">
        <v>521</v>
      </c>
      <c r="P4" s="70" t="s">
        <v>521</v>
      </c>
      <c r="Q4" s="70" t="s">
        <v>522</v>
      </c>
      <c r="R4" s="70" t="s">
        <v>522</v>
      </c>
      <c r="S4" s="70" t="s">
        <v>522</v>
      </c>
      <c r="T4" s="70" t="s">
        <v>522</v>
      </c>
      <c r="U4" s="70" t="s">
        <v>522</v>
      </c>
      <c r="V4" s="70" t="s">
        <v>522</v>
      </c>
      <c r="W4" s="70" t="s">
        <v>522</v>
      </c>
    </row>
    <row r="5" customFormat="false" ht="15" hidden="false" customHeight="false" outlineLevel="0" collapsed="false">
      <c r="B5" s="50" t="s">
        <v>915</v>
      </c>
      <c r="C5" s="70" t="s">
        <v>916</v>
      </c>
      <c r="D5" s="70" t="s">
        <v>917</v>
      </c>
      <c r="E5" s="70" t="s">
        <v>918</v>
      </c>
      <c r="F5" s="70" t="s">
        <v>919</v>
      </c>
      <c r="G5" s="70" t="s">
        <v>920</v>
      </c>
      <c r="H5" s="70" t="s">
        <v>921</v>
      </c>
      <c r="I5" s="70" t="s">
        <v>922</v>
      </c>
      <c r="J5" s="70" t="s">
        <v>916</v>
      </c>
      <c r="K5" s="70" t="s">
        <v>917</v>
      </c>
      <c r="L5" s="70" t="s">
        <v>918</v>
      </c>
      <c r="M5" s="70" t="s">
        <v>919</v>
      </c>
      <c r="N5" s="70" t="s">
        <v>920</v>
      </c>
      <c r="O5" s="70" t="s">
        <v>921</v>
      </c>
      <c r="P5" s="70" t="s">
        <v>922</v>
      </c>
      <c r="Q5" s="70" t="s">
        <v>916</v>
      </c>
      <c r="R5" s="70" t="s">
        <v>917</v>
      </c>
      <c r="S5" s="70" t="s">
        <v>918</v>
      </c>
      <c r="T5" s="70" t="s">
        <v>919</v>
      </c>
      <c r="U5" s="70" t="s">
        <v>920</v>
      </c>
      <c r="V5" s="70" t="s">
        <v>921</v>
      </c>
      <c r="W5" s="70" t="s">
        <v>922</v>
      </c>
    </row>
    <row r="6" customFormat="false" ht="15" hidden="false" customHeight="false" outlineLevel="0" collapsed="false">
      <c r="B6" s="50" t="s">
        <v>923</v>
      </c>
      <c r="C6" s="71" t="n">
        <v>1</v>
      </c>
      <c r="D6" s="71" t="n">
        <f aca="false">1-N_sens</f>
        <v>0.8</v>
      </c>
      <c r="E6" s="71" t="n">
        <f aca="false">1+N_sens</f>
        <v>1.2</v>
      </c>
      <c r="F6" s="71" t="n">
        <v>1</v>
      </c>
      <c r="G6" s="71" t="n">
        <v>1</v>
      </c>
      <c r="H6" s="71" t="n">
        <v>1</v>
      </c>
      <c r="I6" s="71" t="n">
        <v>1</v>
      </c>
      <c r="J6" s="71" t="n">
        <v>1</v>
      </c>
      <c r="K6" s="71" t="n">
        <f aca="false">1-N_sens</f>
        <v>0.8</v>
      </c>
      <c r="L6" s="71" t="n">
        <f aca="false">1+N_sens</f>
        <v>1.2</v>
      </c>
      <c r="M6" s="71" t="n">
        <v>1</v>
      </c>
      <c r="N6" s="71" t="n">
        <v>1</v>
      </c>
      <c r="O6" s="71" t="n">
        <v>1</v>
      </c>
      <c r="P6" s="71" t="n">
        <v>1</v>
      </c>
      <c r="Q6" s="71" t="n">
        <v>1</v>
      </c>
      <c r="R6" s="71" t="n">
        <f aca="false">1-N_sens</f>
        <v>0.8</v>
      </c>
      <c r="S6" s="71" t="n">
        <f aca="false">1+N_sens</f>
        <v>1.2</v>
      </c>
      <c r="T6" s="71" t="n">
        <v>1</v>
      </c>
      <c r="U6" s="71" t="n">
        <v>1</v>
      </c>
      <c r="V6" s="71" t="n">
        <v>1</v>
      </c>
      <c r="W6" s="71" t="n">
        <v>1</v>
      </c>
    </row>
    <row r="7" customFormat="false" ht="15" hidden="false" customHeight="false" outlineLevel="0" collapsed="false">
      <c r="B7" s="50" t="s">
        <v>924</v>
      </c>
      <c r="C7" s="71" t="n">
        <v>1</v>
      </c>
      <c r="D7" s="71" t="n">
        <v>1</v>
      </c>
      <c r="E7" s="71" t="n">
        <v>1</v>
      </c>
      <c r="F7" s="71" t="n">
        <f aca="false">1-N_sens</f>
        <v>0.8</v>
      </c>
      <c r="G7" s="71" t="n">
        <f aca="false">1+N_sens</f>
        <v>1.2</v>
      </c>
      <c r="H7" s="71" t="n">
        <v>1</v>
      </c>
      <c r="I7" s="71" t="n">
        <v>1</v>
      </c>
      <c r="J7" s="71" t="n">
        <v>1</v>
      </c>
      <c r="K7" s="71" t="n">
        <v>1</v>
      </c>
      <c r="L7" s="71" t="n">
        <v>1</v>
      </c>
      <c r="M7" s="71" t="n">
        <f aca="false">1-N_sens</f>
        <v>0.8</v>
      </c>
      <c r="N7" s="71" t="n">
        <f aca="false">1+N_sens</f>
        <v>1.2</v>
      </c>
      <c r="O7" s="71" t="n">
        <v>1</v>
      </c>
      <c r="P7" s="71" t="n">
        <v>1</v>
      </c>
      <c r="Q7" s="71" t="n">
        <v>1</v>
      </c>
      <c r="R7" s="71" t="n">
        <v>1</v>
      </c>
      <c r="S7" s="71" t="n">
        <v>1</v>
      </c>
      <c r="T7" s="71" t="n">
        <f aca="false">1-N_sens</f>
        <v>0.8</v>
      </c>
      <c r="U7" s="71" t="n">
        <f aca="false">1+N_sens</f>
        <v>1.2</v>
      </c>
      <c r="V7" s="71" t="n">
        <v>1</v>
      </c>
      <c r="W7" s="71" t="n">
        <v>1</v>
      </c>
    </row>
    <row r="8" customFormat="false" ht="15" hidden="false" customHeight="false" outlineLevel="0" collapsed="false">
      <c r="B8" s="50" t="s">
        <v>925</v>
      </c>
      <c r="C8" s="71" t="n">
        <v>1</v>
      </c>
      <c r="D8" s="71" t="n">
        <v>1</v>
      </c>
      <c r="E8" s="71" t="n">
        <v>1</v>
      </c>
      <c r="F8" s="71" t="n">
        <v>1</v>
      </c>
      <c r="G8" s="71" t="n">
        <v>1</v>
      </c>
      <c r="H8" s="71" t="n">
        <f aca="false">1-N_sens</f>
        <v>0.8</v>
      </c>
      <c r="I8" s="71" t="n">
        <f aca="false">1+N_sens</f>
        <v>1.2</v>
      </c>
      <c r="J8" s="71" t="n">
        <v>1</v>
      </c>
      <c r="K8" s="71" t="n">
        <v>1</v>
      </c>
      <c r="L8" s="71" t="n">
        <v>1</v>
      </c>
      <c r="M8" s="71" t="n">
        <v>1</v>
      </c>
      <c r="N8" s="71" t="n">
        <v>1</v>
      </c>
      <c r="O8" s="71" t="n">
        <f aca="false">1-N_sens</f>
        <v>0.8</v>
      </c>
      <c r="P8" s="71" t="n">
        <f aca="false">1+N_sens</f>
        <v>1.2</v>
      </c>
      <c r="Q8" s="71" t="n">
        <v>1</v>
      </c>
      <c r="R8" s="71" t="n">
        <v>1</v>
      </c>
      <c r="S8" s="71" t="n">
        <v>1</v>
      </c>
      <c r="T8" s="71" t="n">
        <v>1</v>
      </c>
      <c r="U8" s="71" t="n">
        <v>1</v>
      </c>
      <c r="V8" s="71" t="n">
        <f aca="false">1-N_sens</f>
        <v>0.8</v>
      </c>
      <c r="W8" s="71" t="n">
        <f aca="false">1+N_sens</f>
        <v>1.2</v>
      </c>
    </row>
    <row r="10" customFormat="false" ht="15" hidden="false" customHeight="false" outlineLevel="0" collapsed="false">
      <c r="B10" s="3" t="s">
        <v>926</v>
      </c>
    </row>
    <row r="11" customFormat="false" ht="15" hidden="false" customHeight="false" outlineLevel="0" collapsed="false">
      <c r="A11" s="2" t="s">
        <v>927</v>
      </c>
      <c r="B11" s="14" t="s">
        <v>928</v>
      </c>
      <c r="C11" s="72" t="n">
        <f aca="false">3_Решение_фильтры!F43</f>
        <v>1</v>
      </c>
      <c r="D11" s="72" t="n">
        <f aca="false">3_Решение_фильтры!F43</f>
        <v>1</v>
      </c>
      <c r="E11" s="72" t="n">
        <f aca="false">3_Решение_фильтры!F43</f>
        <v>1</v>
      </c>
      <c r="F11" s="72" t="n">
        <f aca="false">3_Решение_фильтры!F43</f>
        <v>1</v>
      </c>
      <c r="G11" s="72" t="n">
        <f aca="false">3_Решение_фильтры!F43</f>
        <v>1</v>
      </c>
      <c r="H11" s="72" t="n">
        <f aca="false">3_Решение_фильтры!F43</f>
        <v>1</v>
      </c>
      <c r="I11" s="72" t="n">
        <f aca="false">3_Решение_фильтры!F43</f>
        <v>1</v>
      </c>
      <c r="J11" s="72" t="n">
        <f aca="false">3_Решение_фильтры!G43</f>
        <v>1</v>
      </c>
      <c r="K11" s="72" t="n">
        <f aca="false">3_Решение_фильтры!G43</f>
        <v>1</v>
      </c>
      <c r="L11" s="72" t="n">
        <f aca="false">3_Решение_фильтры!G43</f>
        <v>1</v>
      </c>
      <c r="M11" s="72" t="n">
        <f aca="false">3_Решение_фильтры!G43</f>
        <v>1</v>
      </c>
      <c r="N11" s="72" t="n">
        <f aca="false">3_Решение_фильтры!G43</f>
        <v>1</v>
      </c>
      <c r="O11" s="72" t="n">
        <f aca="false">3_Решение_фильтры!G43</f>
        <v>1</v>
      </c>
      <c r="P11" s="72" t="n">
        <f aca="false">3_Решение_фильтры!G43</f>
        <v>1</v>
      </c>
      <c r="Q11" s="72" t="n">
        <f aca="false">3_Решение_фильтры!H43</f>
        <v>1</v>
      </c>
      <c r="R11" s="72" t="n">
        <f aca="false">3_Решение_фильтры!H43</f>
        <v>1</v>
      </c>
      <c r="S11" s="72" t="n">
        <f aca="false">3_Решение_фильтры!H43</f>
        <v>1</v>
      </c>
      <c r="T11" s="72" t="n">
        <f aca="false">3_Решение_фильтры!H43</f>
        <v>1</v>
      </c>
      <c r="U11" s="72" t="n">
        <f aca="false">3_Решение_фильтры!H43</f>
        <v>1</v>
      </c>
      <c r="V11" s="72" t="n">
        <f aca="false">3_Решение_фильтры!H43</f>
        <v>1</v>
      </c>
      <c r="W11" s="72" t="n">
        <f aca="false">3_Решение_фильтры!H43</f>
        <v>1</v>
      </c>
    </row>
    <row r="12" customFormat="false" ht="15" hidden="false" customHeight="false" outlineLevel="0" collapsed="false">
      <c r="A12" s="2" t="s">
        <v>929</v>
      </c>
      <c r="B12" s="14" t="s">
        <v>930</v>
      </c>
      <c r="C12" s="72" t="n">
        <f aca="false">3_Решение_фильтры!F45</f>
        <v>1</v>
      </c>
      <c r="D12" s="72" t="n">
        <f aca="false">3_Решение_фильтры!F45</f>
        <v>1</v>
      </c>
      <c r="E12" s="72" t="n">
        <f aca="false">3_Решение_фильтры!F45</f>
        <v>1</v>
      </c>
      <c r="F12" s="72" t="n">
        <f aca="false">3_Решение_фильтры!F45</f>
        <v>1</v>
      </c>
      <c r="G12" s="72" t="n">
        <f aca="false">3_Решение_фильтры!F45</f>
        <v>1</v>
      </c>
      <c r="H12" s="72" t="n">
        <f aca="false">3_Решение_фильтры!F45</f>
        <v>1</v>
      </c>
      <c r="I12" s="72" t="n">
        <f aca="false">3_Решение_фильтры!F45</f>
        <v>1</v>
      </c>
      <c r="J12" s="72" t="n">
        <f aca="false">3_Решение_фильтры!G45</f>
        <v>0</v>
      </c>
      <c r="K12" s="72" t="n">
        <f aca="false">3_Решение_фильтры!G45</f>
        <v>0</v>
      </c>
      <c r="L12" s="72" t="n">
        <f aca="false">3_Решение_фильтры!G45</f>
        <v>0</v>
      </c>
      <c r="M12" s="72" t="n">
        <f aca="false">3_Решение_фильтры!G45</f>
        <v>0</v>
      </c>
      <c r="N12" s="72" t="n">
        <f aca="false">3_Решение_фильтры!G45</f>
        <v>0</v>
      </c>
      <c r="O12" s="72" t="n">
        <f aca="false">3_Решение_фильтры!G45</f>
        <v>0</v>
      </c>
      <c r="P12" s="72" t="n">
        <f aca="false">3_Решение_фильтры!G45</f>
        <v>0</v>
      </c>
      <c r="Q12" s="72" t="n">
        <f aca="false">3_Решение_фильтры!H45</f>
        <v>1</v>
      </c>
      <c r="R12" s="72" t="n">
        <f aca="false">3_Решение_фильтры!H45</f>
        <v>1</v>
      </c>
      <c r="S12" s="72" t="n">
        <f aca="false">3_Решение_фильтры!H45</f>
        <v>1</v>
      </c>
      <c r="T12" s="72" t="n">
        <f aca="false">3_Решение_фильтры!H45</f>
        <v>1</v>
      </c>
      <c r="U12" s="72" t="n">
        <f aca="false">3_Решение_фильтры!H45</f>
        <v>1</v>
      </c>
      <c r="V12" s="72" t="n">
        <f aca="false">3_Решение_фильтры!H45</f>
        <v>1</v>
      </c>
      <c r="W12" s="72" t="n">
        <f aca="false">3_Решение_фильтры!H45</f>
        <v>1</v>
      </c>
    </row>
    <row r="13" customFormat="false" ht="15" hidden="false" customHeight="false" outlineLevel="0" collapsed="false">
      <c r="A13" s="2" t="s">
        <v>531</v>
      </c>
      <c r="B13" s="14" t="s">
        <v>931</v>
      </c>
      <c r="C13" s="72" t="n">
        <f aca="false">3_Решение_фильтры!F21</f>
        <v>4300000</v>
      </c>
      <c r="D13" s="72" t="n">
        <f aca="false">3_Решение_фильтры!F21</f>
        <v>4300000</v>
      </c>
      <c r="E13" s="72" t="n">
        <f aca="false">3_Решение_фильтры!F21</f>
        <v>4300000</v>
      </c>
      <c r="F13" s="72" t="n">
        <f aca="false">3_Решение_фильтры!F21</f>
        <v>4300000</v>
      </c>
      <c r="G13" s="72" t="n">
        <f aca="false">3_Решение_фильтры!F21</f>
        <v>4300000</v>
      </c>
      <c r="H13" s="72" t="n">
        <f aca="false">3_Решение_фильтры!F21</f>
        <v>4300000</v>
      </c>
      <c r="I13" s="72" t="n">
        <f aca="false">3_Решение_фильтры!F21</f>
        <v>4300000</v>
      </c>
      <c r="J13" s="72" t="n">
        <f aca="false">3_Решение_фильтры!G21</f>
        <v>4300000</v>
      </c>
      <c r="K13" s="72" t="n">
        <f aca="false">3_Решение_фильтры!G21</f>
        <v>4300000</v>
      </c>
      <c r="L13" s="72" t="n">
        <f aca="false">3_Решение_фильтры!G21</f>
        <v>4300000</v>
      </c>
      <c r="M13" s="72" t="n">
        <f aca="false">3_Решение_фильтры!G21</f>
        <v>4300000</v>
      </c>
      <c r="N13" s="72" t="n">
        <f aca="false">3_Решение_фильтры!G21</f>
        <v>4300000</v>
      </c>
      <c r="O13" s="72" t="n">
        <f aca="false">3_Решение_фильтры!G21</f>
        <v>4300000</v>
      </c>
      <c r="P13" s="72" t="n">
        <f aca="false">3_Решение_фильтры!G21</f>
        <v>4300000</v>
      </c>
      <c r="Q13" s="72" t="n">
        <f aca="false">3_Решение_фильтры!H21</f>
        <v>2700000</v>
      </c>
      <c r="R13" s="72" t="n">
        <f aca="false">3_Решение_фильтры!H21</f>
        <v>2700000</v>
      </c>
      <c r="S13" s="72" t="n">
        <f aca="false">3_Решение_фильтры!H21</f>
        <v>2700000</v>
      </c>
      <c r="T13" s="72" t="n">
        <f aca="false">3_Решение_фильтры!H21</f>
        <v>2700000</v>
      </c>
      <c r="U13" s="72" t="n">
        <f aca="false">3_Решение_фильтры!H21</f>
        <v>2700000</v>
      </c>
      <c r="V13" s="72" t="n">
        <f aca="false">3_Решение_фильтры!H21</f>
        <v>2700000</v>
      </c>
      <c r="W13" s="72" t="n">
        <f aca="false">3_Решение_фильтры!H21</f>
        <v>2700000</v>
      </c>
    </row>
    <row r="14" customFormat="false" ht="15" hidden="false" customHeight="false" outlineLevel="0" collapsed="false">
      <c r="A14" s="2" t="s">
        <v>546</v>
      </c>
      <c r="B14" s="14" t="s">
        <v>932</v>
      </c>
      <c r="C14" s="72" t="n">
        <f aca="false">3_Решение_фильтры!F26</f>
        <v>3</v>
      </c>
      <c r="D14" s="72" t="n">
        <f aca="false">3_Решение_фильтры!F26</f>
        <v>3</v>
      </c>
      <c r="E14" s="72" t="n">
        <f aca="false">3_Решение_фильтры!F26</f>
        <v>3</v>
      </c>
      <c r="F14" s="72" t="n">
        <f aca="false">3_Решение_фильтры!F26</f>
        <v>3</v>
      </c>
      <c r="G14" s="72" t="n">
        <f aca="false">3_Решение_фильтры!F26</f>
        <v>3</v>
      </c>
      <c r="H14" s="72" t="n">
        <f aca="false">3_Решение_фильтры!F26</f>
        <v>3</v>
      </c>
      <c r="I14" s="72" t="n">
        <f aca="false">3_Решение_фильтры!F26</f>
        <v>3</v>
      </c>
      <c r="J14" s="72" t="n">
        <f aca="false">3_Решение_фильтры!G26</f>
        <v>3</v>
      </c>
      <c r="K14" s="72" t="n">
        <f aca="false">3_Решение_фильтры!G26</f>
        <v>3</v>
      </c>
      <c r="L14" s="72" t="n">
        <f aca="false">3_Решение_фильтры!G26</f>
        <v>3</v>
      </c>
      <c r="M14" s="72" t="n">
        <f aca="false">3_Решение_фильтры!G26</f>
        <v>3</v>
      </c>
      <c r="N14" s="72" t="n">
        <f aca="false">3_Решение_фильтры!G26</f>
        <v>3</v>
      </c>
      <c r="O14" s="72" t="n">
        <f aca="false">3_Решение_фильтры!G26</f>
        <v>3</v>
      </c>
      <c r="P14" s="72" t="n">
        <f aca="false">3_Решение_фильтры!G26</f>
        <v>3</v>
      </c>
      <c r="Q14" s="72" t="n">
        <f aca="false">3_Решение_фильтры!H26</f>
        <v>1</v>
      </c>
      <c r="R14" s="72" t="n">
        <f aca="false">3_Решение_фильтры!H26</f>
        <v>1</v>
      </c>
      <c r="S14" s="72" t="n">
        <f aca="false">3_Решение_фильтры!H26</f>
        <v>1</v>
      </c>
      <c r="T14" s="72" t="n">
        <f aca="false">3_Решение_фильтры!H26</f>
        <v>1</v>
      </c>
      <c r="U14" s="72" t="n">
        <f aca="false">3_Решение_фильтры!H26</f>
        <v>1</v>
      </c>
      <c r="V14" s="72" t="n">
        <f aca="false">3_Решение_фильтры!H26</f>
        <v>1</v>
      </c>
      <c r="W14" s="72" t="n">
        <f aca="false">3_Решение_фильтры!H26</f>
        <v>1</v>
      </c>
    </row>
    <row r="15" customFormat="false" ht="15" hidden="false" customHeight="false" outlineLevel="0" collapsed="false">
      <c r="A15" s="2" t="s">
        <v>558</v>
      </c>
      <c r="B15" s="14" t="s">
        <v>933</v>
      </c>
      <c r="C15" s="72" t="n">
        <f aca="false">3_Решение_фильтры!F30</f>
        <v>0.8</v>
      </c>
      <c r="D15" s="72" t="n">
        <f aca="false">3_Решение_фильтры!F30</f>
        <v>0.8</v>
      </c>
      <c r="E15" s="72" t="n">
        <f aca="false">3_Решение_фильтры!F30</f>
        <v>0.8</v>
      </c>
      <c r="F15" s="72" t="n">
        <f aca="false">3_Решение_фильтры!F30</f>
        <v>0.8</v>
      </c>
      <c r="G15" s="72" t="n">
        <f aca="false">3_Решение_фильтры!F30</f>
        <v>0.8</v>
      </c>
      <c r="H15" s="72" t="n">
        <f aca="false">3_Решение_фильтры!F30</f>
        <v>0.8</v>
      </c>
      <c r="I15" s="72" t="n">
        <f aca="false">3_Решение_фильтры!F30</f>
        <v>0.8</v>
      </c>
      <c r="J15" s="72" t="n">
        <f aca="false">3_Решение_фильтры!G30</f>
        <v>0.8</v>
      </c>
      <c r="K15" s="72" t="n">
        <f aca="false">3_Решение_фильтры!G30</f>
        <v>0.8</v>
      </c>
      <c r="L15" s="72" t="n">
        <f aca="false">3_Решение_фильтры!G30</f>
        <v>0.8</v>
      </c>
      <c r="M15" s="72" t="n">
        <f aca="false">3_Решение_фильтры!G30</f>
        <v>0.8</v>
      </c>
      <c r="N15" s="72" t="n">
        <f aca="false">3_Решение_фильтры!G30</f>
        <v>0.8</v>
      </c>
      <c r="O15" s="72" t="n">
        <f aca="false">3_Решение_фильтры!G30</f>
        <v>0.8</v>
      </c>
      <c r="P15" s="72" t="n">
        <f aca="false">3_Решение_фильтры!G30</f>
        <v>0.8</v>
      </c>
      <c r="Q15" s="72" t="n">
        <f aca="false">3_Решение_фильтры!H30</f>
        <v>0.6</v>
      </c>
      <c r="R15" s="72" t="n">
        <f aca="false">3_Решение_фильтры!H30</f>
        <v>0.6</v>
      </c>
      <c r="S15" s="72" t="n">
        <f aca="false">3_Решение_фильтры!H30</f>
        <v>0.6</v>
      </c>
      <c r="T15" s="72" t="n">
        <f aca="false">3_Решение_фильтры!H30</f>
        <v>0.6</v>
      </c>
      <c r="U15" s="72" t="n">
        <f aca="false">3_Решение_фильтры!H30</f>
        <v>0.6</v>
      </c>
      <c r="V15" s="72" t="n">
        <f aca="false">3_Решение_фильтры!H30</f>
        <v>0.6</v>
      </c>
      <c r="W15" s="72" t="n">
        <f aca="false">3_Решение_фильтры!H30</f>
        <v>0.6</v>
      </c>
    </row>
    <row r="16" customFormat="false" ht="15" hidden="false" customHeight="false" outlineLevel="0" collapsed="false">
      <c r="A16" s="2" t="s">
        <v>934</v>
      </c>
      <c r="B16" s="14" t="s">
        <v>935</v>
      </c>
      <c r="C16" s="72" t="n">
        <f aca="false">4_Потребность!F19</f>
        <v>129.545454545455</v>
      </c>
      <c r="D16" s="72" t="n">
        <f aca="false">4_Потребность!F19</f>
        <v>129.545454545455</v>
      </c>
      <c r="E16" s="72" t="n">
        <f aca="false">4_Потребность!F19</f>
        <v>129.545454545455</v>
      </c>
      <c r="F16" s="72" t="n">
        <f aca="false">4_Потребность!F19</f>
        <v>129.545454545455</v>
      </c>
      <c r="G16" s="72" t="n">
        <f aca="false">4_Потребность!F19</f>
        <v>129.545454545455</v>
      </c>
      <c r="H16" s="72" t="n">
        <f aca="false">4_Потребность!F19</f>
        <v>129.545454545455</v>
      </c>
      <c r="I16" s="72" t="n">
        <f aca="false">4_Потребность!F19</f>
        <v>129.545454545455</v>
      </c>
      <c r="J16" s="72" t="n">
        <f aca="false">4_Потребность!G19</f>
        <v>129.545454545455</v>
      </c>
      <c r="K16" s="72" t="n">
        <f aca="false">4_Потребность!G19</f>
        <v>129.545454545455</v>
      </c>
      <c r="L16" s="72" t="n">
        <f aca="false">4_Потребность!G19</f>
        <v>129.545454545455</v>
      </c>
      <c r="M16" s="72" t="n">
        <f aca="false">4_Потребность!G19</f>
        <v>129.545454545455</v>
      </c>
      <c r="N16" s="72" t="n">
        <f aca="false">4_Потребность!G19</f>
        <v>129.545454545455</v>
      </c>
      <c r="O16" s="72" t="n">
        <f aca="false">4_Потребность!G19</f>
        <v>129.545454545455</v>
      </c>
      <c r="P16" s="72" t="n">
        <f aca="false">4_Потребность!G19</f>
        <v>129.545454545455</v>
      </c>
      <c r="Q16" s="72" t="n">
        <f aca="false">4_Потребность!H19</f>
        <v>129.545454545455</v>
      </c>
      <c r="R16" s="72" t="n">
        <f aca="false">4_Потребность!H19</f>
        <v>129.545454545455</v>
      </c>
      <c r="S16" s="72" t="n">
        <f aca="false">4_Потребность!H19</f>
        <v>129.545454545455</v>
      </c>
      <c r="T16" s="72" t="n">
        <f aca="false">4_Потребность!H19</f>
        <v>129.545454545455</v>
      </c>
      <c r="U16" s="72" t="n">
        <f aca="false">4_Потребность!H19</f>
        <v>129.545454545455</v>
      </c>
      <c r="V16" s="72" t="n">
        <f aca="false">4_Потребность!H19</f>
        <v>129.545454545455</v>
      </c>
      <c r="W16" s="72" t="n">
        <f aca="false">4_Потребность!H19</f>
        <v>129.545454545455</v>
      </c>
    </row>
    <row r="17" customFormat="false" ht="15" hidden="false" customHeight="false" outlineLevel="0" collapsed="false">
      <c r="A17" s="2" t="s">
        <v>936</v>
      </c>
      <c r="B17" s="14" t="s">
        <v>937</v>
      </c>
      <c r="C17" s="72" t="n">
        <f aca="false">5_Парк!F22</f>
        <v>7.99480519480519</v>
      </c>
      <c r="D17" s="72" t="n">
        <f aca="false">5_Парк!F22</f>
        <v>7.99480519480519</v>
      </c>
      <c r="E17" s="72" t="n">
        <f aca="false">5_Парк!F22</f>
        <v>7.99480519480519</v>
      </c>
      <c r="F17" s="72" t="n">
        <f aca="false">5_Парк!F22</f>
        <v>7.99480519480519</v>
      </c>
      <c r="G17" s="72" t="n">
        <f aca="false">5_Парк!F22</f>
        <v>7.99480519480519</v>
      </c>
      <c r="H17" s="72" t="n">
        <f aca="false">5_Парк!F22</f>
        <v>7.99480519480519</v>
      </c>
      <c r="I17" s="72" t="n">
        <f aca="false">5_Парк!F22</f>
        <v>7.99480519480519</v>
      </c>
      <c r="J17" s="72" t="n">
        <f aca="false">5_Парк!G22</f>
        <v>7.99480519480519</v>
      </c>
      <c r="K17" s="72" t="n">
        <f aca="false">5_Парк!G22</f>
        <v>7.99480519480519</v>
      </c>
      <c r="L17" s="72" t="n">
        <f aca="false">5_Парк!G22</f>
        <v>7.99480519480519</v>
      </c>
      <c r="M17" s="72" t="n">
        <f aca="false">5_Парк!G22</f>
        <v>7.99480519480519</v>
      </c>
      <c r="N17" s="72" t="n">
        <f aca="false">5_Парк!G22</f>
        <v>7.99480519480519</v>
      </c>
      <c r="O17" s="72" t="n">
        <f aca="false">5_Парк!G22</f>
        <v>7.99480519480519</v>
      </c>
      <c r="P17" s="72" t="n">
        <f aca="false">5_Парк!G22</f>
        <v>7.99480519480519</v>
      </c>
      <c r="Q17" s="72" t="n">
        <f aca="false">5_Парк!H22</f>
        <v>9.69448818897638</v>
      </c>
      <c r="R17" s="72" t="n">
        <f aca="false">5_Парк!H22</f>
        <v>9.69448818897638</v>
      </c>
      <c r="S17" s="72" t="n">
        <f aca="false">5_Парк!H22</f>
        <v>9.69448818897638</v>
      </c>
      <c r="T17" s="72" t="n">
        <f aca="false">5_Парк!H22</f>
        <v>9.69448818897638</v>
      </c>
      <c r="U17" s="72" t="n">
        <f aca="false">5_Парк!H22</f>
        <v>9.69448818897638</v>
      </c>
      <c r="V17" s="72" t="n">
        <f aca="false">5_Парк!H22</f>
        <v>9.69448818897638</v>
      </c>
      <c r="W17" s="72" t="n">
        <f aca="false">5_Парк!H22</f>
        <v>9.69448818897638</v>
      </c>
    </row>
    <row r="18" customFormat="false" ht="15" hidden="false" customHeight="false" outlineLevel="0" collapsed="false">
      <c r="B18" s="3" t="s">
        <v>938</v>
      </c>
    </row>
    <row r="19" customFormat="false" ht="15" hidden="false" customHeight="false" outlineLevel="0" collapsed="false">
      <c r="A19" s="2" t="s">
        <v>939</v>
      </c>
      <c r="B19" s="14" t="s">
        <v>940</v>
      </c>
      <c r="C19" s="73" t="n">
        <f aca="false">IF(C11=1,MAX(1,ROUNDUP(C16*C$7/C17*(1+N_reserve),0)),0)</f>
        <v>19</v>
      </c>
      <c r="D19" s="73" t="n">
        <f aca="false">IF(D11=1,MAX(1,ROUNDUP(D16*D$7/D17*(1+N_reserve),0)),0)</f>
        <v>19</v>
      </c>
      <c r="E19" s="73" t="n">
        <f aca="false">IF(E11=1,MAX(1,ROUNDUP(E16*E$7/E17*(1+N_reserve),0)),0)</f>
        <v>19</v>
      </c>
      <c r="F19" s="73" t="n">
        <f aca="false">IF(F11=1,MAX(1,ROUNDUP(F16*F$7/F17*(1+N_reserve),0)),0)</f>
        <v>15</v>
      </c>
      <c r="G19" s="73" t="n">
        <f aca="false">IF(G11=1,MAX(1,ROUNDUP(G16*G$7/G17*(1+N_reserve),0)),0)</f>
        <v>23</v>
      </c>
      <c r="H19" s="73" t="n">
        <f aca="false">IF(H11=1,MAX(1,ROUNDUP(H16*H$7/H17*(1+N_reserve),0)),0)</f>
        <v>19</v>
      </c>
      <c r="I19" s="73" t="n">
        <f aca="false">IF(I11=1,MAX(1,ROUNDUP(I16*I$7/I17*(1+N_reserve),0)),0)</f>
        <v>19</v>
      </c>
      <c r="J19" s="73" t="n">
        <f aca="false">IF(J11=1,MAX(1,ROUNDUP(J16*J$7/J17*(1+N_reserve),0)),0)</f>
        <v>19</v>
      </c>
      <c r="K19" s="73" t="n">
        <f aca="false">IF(K11=1,MAX(1,ROUNDUP(K16*K$7/K17*(1+N_reserve),0)),0)</f>
        <v>19</v>
      </c>
      <c r="L19" s="73" t="n">
        <f aca="false">IF(L11=1,MAX(1,ROUNDUP(L16*L$7/L17*(1+N_reserve),0)),0)</f>
        <v>19</v>
      </c>
      <c r="M19" s="73" t="n">
        <f aca="false">IF(M11=1,MAX(1,ROUNDUP(M16*M$7/M17*(1+N_reserve),0)),0)</f>
        <v>15</v>
      </c>
      <c r="N19" s="73" t="n">
        <f aca="false">IF(N11=1,MAX(1,ROUNDUP(N16*N$7/N17*(1+N_reserve),0)),0)</f>
        <v>23</v>
      </c>
      <c r="O19" s="73" t="n">
        <f aca="false">IF(O11=1,MAX(1,ROUNDUP(O16*O$7/O17*(1+N_reserve),0)),0)</f>
        <v>19</v>
      </c>
      <c r="P19" s="73" t="n">
        <f aca="false">IF(P11=1,MAX(1,ROUNDUP(P16*P$7/P17*(1+N_reserve),0)),0)</f>
        <v>19</v>
      </c>
      <c r="Q19" s="73" t="n">
        <f aca="false">IF(Q11=1,MAX(1,ROUNDUP(Q16*Q$7/Q17*(1+N_reserve),0)),0)</f>
        <v>16</v>
      </c>
      <c r="R19" s="73" t="n">
        <f aca="false">IF(R11=1,MAX(1,ROUNDUP(R16*R$7/R17*(1+N_reserve),0)),0)</f>
        <v>16</v>
      </c>
      <c r="S19" s="73" t="n">
        <f aca="false">IF(S11=1,MAX(1,ROUNDUP(S16*S$7/S17*(1+N_reserve),0)),0)</f>
        <v>16</v>
      </c>
      <c r="T19" s="73" t="n">
        <f aca="false">IF(T11=1,MAX(1,ROUNDUP(T16*T$7/T17*(1+N_reserve),0)),0)</f>
        <v>13</v>
      </c>
      <c r="U19" s="73" t="n">
        <f aca="false">IF(U11=1,MAX(1,ROUNDUP(U16*U$7/U17*(1+N_reserve),0)),0)</f>
        <v>19</v>
      </c>
      <c r="V19" s="73" t="n">
        <f aca="false">IF(V11=1,MAX(1,ROUNDUP(V16*V$7/V17*(1+N_reserve),0)),0)</f>
        <v>16</v>
      </c>
      <c r="W19" s="73" t="n">
        <f aca="false">IF(W11=1,MAX(1,ROUNDUP(W16*W$7/W17*(1+N_reserve),0)),0)</f>
        <v>16</v>
      </c>
    </row>
    <row r="20" customFormat="false" ht="15" hidden="false" customHeight="false" outlineLevel="0" collapsed="false">
      <c r="A20" s="2" t="s">
        <v>941</v>
      </c>
      <c r="B20" s="14" t="s">
        <v>942</v>
      </c>
      <c r="C20" s="73" t="n">
        <f aca="false">ROUNDUP(C19/N_charger_ratio,0)</f>
        <v>5</v>
      </c>
      <c r="D20" s="73" t="n">
        <f aca="false">ROUNDUP(D19/N_charger_ratio,0)</f>
        <v>5</v>
      </c>
      <c r="E20" s="73" t="n">
        <f aca="false">ROUNDUP(E19/N_charger_ratio,0)</f>
        <v>5</v>
      </c>
      <c r="F20" s="73" t="n">
        <f aca="false">ROUNDUP(F19/N_charger_ratio,0)</f>
        <v>4</v>
      </c>
      <c r="G20" s="73" t="n">
        <f aca="false">ROUNDUP(G19/N_charger_ratio,0)</f>
        <v>6</v>
      </c>
      <c r="H20" s="73" t="n">
        <f aca="false">ROUNDUP(H19/N_charger_ratio,0)</f>
        <v>5</v>
      </c>
      <c r="I20" s="73" t="n">
        <f aca="false">ROUNDUP(I19/N_charger_ratio,0)</f>
        <v>5</v>
      </c>
      <c r="J20" s="73" t="n">
        <f aca="false">ROUNDUP(J19/N_charger_ratio,0)</f>
        <v>5</v>
      </c>
      <c r="K20" s="73" t="n">
        <f aca="false">ROUNDUP(K19/N_charger_ratio,0)</f>
        <v>5</v>
      </c>
      <c r="L20" s="73" t="n">
        <f aca="false">ROUNDUP(L19/N_charger_ratio,0)</f>
        <v>5</v>
      </c>
      <c r="M20" s="73" t="n">
        <f aca="false">ROUNDUP(M19/N_charger_ratio,0)</f>
        <v>4</v>
      </c>
      <c r="N20" s="73" t="n">
        <f aca="false">ROUNDUP(N19/N_charger_ratio,0)</f>
        <v>6</v>
      </c>
      <c r="O20" s="73" t="n">
        <f aca="false">ROUNDUP(O19/N_charger_ratio,0)</f>
        <v>5</v>
      </c>
      <c r="P20" s="73" t="n">
        <f aca="false">ROUNDUP(P19/N_charger_ratio,0)</f>
        <v>5</v>
      </c>
      <c r="Q20" s="73" t="n">
        <f aca="false">ROUNDUP(Q19/N_charger_ratio,0)</f>
        <v>4</v>
      </c>
      <c r="R20" s="73" t="n">
        <f aca="false">ROUNDUP(R19/N_charger_ratio,0)</f>
        <v>4</v>
      </c>
      <c r="S20" s="73" t="n">
        <f aca="false">ROUNDUP(S19/N_charger_ratio,0)</f>
        <v>4</v>
      </c>
      <c r="T20" s="73" t="n">
        <f aca="false">ROUNDUP(T19/N_charger_ratio,0)</f>
        <v>4</v>
      </c>
      <c r="U20" s="73" t="n">
        <f aca="false">ROUNDUP(U19/N_charger_ratio,0)</f>
        <v>5</v>
      </c>
      <c r="V20" s="73" t="n">
        <f aca="false">ROUNDUP(V19/N_charger_ratio,0)</f>
        <v>4</v>
      </c>
      <c r="W20" s="73" t="n">
        <f aca="false">ROUNDUP(W19/N_charger_ratio,0)</f>
        <v>4</v>
      </c>
    </row>
    <row r="21" customFormat="false" ht="15" hidden="false" customHeight="false" outlineLevel="0" collapsed="false">
      <c r="A21" s="2" t="s">
        <v>943</v>
      </c>
      <c r="B21" s="14" t="s">
        <v>944</v>
      </c>
      <c r="C21" s="67" t="n">
        <f aca="false">(C19*C13*C$6*(C12*(1+N_sw_pct+N_delivery_pct+N_pnr_pct)+P_site_pct+(1-C12)*N_raas_setup)+C20*N_charger_price*C12+(P_integration+N_training)*IF(C19&gt;0,1,0))*(1+N_capex_reserve)</f>
        <v>113546400</v>
      </c>
      <c r="D21" s="67" t="n">
        <f aca="false">(D19*D13*D$6*(D12*(1+N_sw_pct+N_delivery_pct+N_pnr_pct)+P_site_pct+(1-D12)*N_raas_setup)+D20*N_charger_price*D12+(P_integration+N_training)*IF(D19&gt;0,1,0))*(1+N_capex_reserve)</f>
        <v>91618120</v>
      </c>
      <c r="E21" s="67" t="n">
        <f aca="false">(E19*E13*E$6*(E12*(1+N_sw_pct+N_delivery_pct+N_pnr_pct)+P_site_pct+(1-E12)*N_raas_setup)+E20*N_charger_price*E12+(P_integration+N_training)*IF(E19&gt;0,1,0))*(1+N_capex_reserve)</f>
        <v>135474680</v>
      </c>
      <c r="F21" s="67" t="n">
        <f aca="false">(F19*F13*F$6*(F12*(1+N_sw_pct+N_delivery_pct+N_pnr_pct)+P_site_pct+(1-F12)*N_raas_setup)+F20*N_charger_price*F12+(P_integration+N_training)*IF(F19&gt;0,1,0))*(1+N_capex_reserve)</f>
        <v>90189000</v>
      </c>
      <c r="G21" s="67" t="n">
        <f aca="false">(G19*G13*G$6*(G12*(1+N_sw_pct+N_delivery_pct+N_pnr_pct)+P_site_pct+(1-G12)*N_raas_setup)+G20*N_charger_price*G12+(P_integration+N_training)*IF(G19&gt;0,1,0))*(1+N_capex_reserve)</f>
        <v>136903800</v>
      </c>
      <c r="H21" s="67" t="n">
        <f aca="false">(H19*H13*H$6*(H12*(1+N_sw_pct+N_delivery_pct+N_pnr_pct)+P_site_pct+(1-H12)*N_raas_setup)+H20*N_charger_price*H12+(P_integration+N_training)*IF(H19&gt;0,1,0))*(1+N_capex_reserve)</f>
        <v>113546400</v>
      </c>
      <c r="I21" s="67" t="n">
        <f aca="false">(I19*I13*I$6*(I12*(1+N_sw_pct+N_delivery_pct+N_pnr_pct)+P_site_pct+(1-I12)*N_raas_setup)+I20*N_charger_price*I12+(P_integration+N_training)*IF(I19&gt;0,1,0))*(1+N_capex_reserve)</f>
        <v>113546400</v>
      </c>
      <c r="J21" s="67" t="n">
        <f aca="false">(J19*J13*J$6*(J12*(1+N_sw_pct+N_delivery_pct+N_pnr_pct)+P_site_pct+(1-J12)*N_raas_setup)+J20*N_charger_price*J12+(P_integration+N_training)*IF(J19&gt;0,1,0))*(1+N_capex_reserve)</f>
        <v>11517000</v>
      </c>
      <c r="K21" s="67" t="n">
        <f aca="false">(K19*K13*K$6*(K12*(1+N_sw_pct+N_delivery_pct+N_pnr_pct)+P_site_pct+(1-K12)*N_raas_setup)+K20*N_charger_price*K12+(P_integration+N_training)*IF(K19&gt;0,1,0))*(1+N_capex_reserve)</f>
        <v>9719600</v>
      </c>
      <c r="L21" s="67" t="n">
        <f aca="false">(L19*L13*L$6*(L12*(1+N_sw_pct+N_delivery_pct+N_pnr_pct)+P_site_pct+(1-L12)*N_raas_setup)+L20*N_charger_price*L12+(P_integration+N_training)*IF(L19&gt;0,1,0))*(1+N_capex_reserve)</f>
        <v>13314400</v>
      </c>
      <c r="M21" s="67" t="n">
        <f aca="false">(M19*M13*M$6*(M12*(1+N_sw_pct+N_delivery_pct+N_pnr_pct)+P_site_pct+(1-M12)*N_raas_setup)+M20*N_charger_price*M12+(P_integration+N_training)*IF(M19&gt;0,1,0))*(1+N_capex_reserve)</f>
        <v>9625000</v>
      </c>
      <c r="N21" s="67" t="n">
        <f aca="false">(N19*N13*N$6*(N12*(1+N_sw_pct+N_delivery_pct+N_pnr_pct)+P_site_pct+(1-N12)*N_raas_setup)+N20*N_charger_price*N12+(P_integration+N_training)*IF(N19&gt;0,1,0))*(1+N_capex_reserve)</f>
        <v>13409000</v>
      </c>
      <c r="O21" s="67" t="n">
        <f aca="false">(O19*O13*O$6*(O12*(1+N_sw_pct+N_delivery_pct+N_pnr_pct)+P_site_pct+(1-O12)*N_raas_setup)+O20*N_charger_price*O12+(P_integration+N_training)*IF(O19&gt;0,1,0))*(1+N_capex_reserve)</f>
        <v>11517000</v>
      </c>
      <c r="P21" s="67" t="n">
        <f aca="false">(P19*P13*P$6*(P12*(1+N_sw_pct+N_delivery_pct+N_pnr_pct)+P_site_pct+(1-P12)*N_raas_setup)+P20*N_charger_price*P12+(P_integration+N_training)*IF(P19&gt;0,1,0))*(1+N_capex_reserve)</f>
        <v>11517000</v>
      </c>
      <c r="Q21" s="67" t="n">
        <f aca="false">(Q19*Q13*Q$6*(Q12*(1+N_sw_pct+N_delivery_pct+N_pnr_pct)+P_site_pct+(1-Q12)*N_raas_setup)+Q20*N_charger_price*Q12+(P_integration+N_training)*IF(Q19&gt;0,1,0))*(1+N_capex_reserve)</f>
        <v>61604400</v>
      </c>
      <c r="R21" s="67" t="n">
        <f aca="false">(R19*R13*R$6*(R12*(1+N_sw_pct+N_delivery_pct+N_pnr_pct)+P_site_pct+(1-R12)*N_raas_setup)+R20*N_charger_price*R12+(P_integration+N_training)*IF(R19&gt;0,1,0))*(1+N_capex_reserve)</f>
        <v>50009520</v>
      </c>
      <c r="S21" s="67" t="n">
        <f aca="false">(S19*S13*S$6*(S12*(1+N_sw_pct+N_delivery_pct+N_pnr_pct)+P_site_pct+(1-S12)*N_raas_setup)+S20*N_charger_price*S12+(P_integration+N_training)*IF(S19&gt;0,1,0))*(1+N_capex_reserve)</f>
        <v>73199280</v>
      </c>
      <c r="T21" s="67" t="n">
        <f aca="false">(T19*T13*T$6*(T12*(1+N_sw_pct+N_delivery_pct+N_pnr_pct)+P_site_pct+(1-T12)*N_raas_setup)+T20*N_charger_price*T12+(P_integration+N_training)*IF(T19&gt;0,1,0))*(1+N_capex_reserve)</f>
        <v>50734200</v>
      </c>
      <c r="U21" s="67" t="n">
        <f aca="false">(U19*U13*U$6*(U12*(1+N_sw_pct+N_delivery_pct+N_pnr_pct)+P_site_pct+(1-U12)*N_raas_setup)+U20*N_charger_price*U12+(P_integration+N_training)*IF(U19&gt;0,1,0))*(1+N_capex_reserve)</f>
        <v>72749600</v>
      </c>
      <c r="V21" s="67" t="n">
        <f aca="false">(V19*V13*V$6*(V12*(1+N_sw_pct+N_delivery_pct+N_pnr_pct)+P_site_pct+(1-V12)*N_raas_setup)+V20*N_charger_price*V12+(P_integration+N_training)*IF(V19&gt;0,1,0))*(1+N_capex_reserve)</f>
        <v>61604400</v>
      </c>
      <c r="W21" s="67" t="n">
        <f aca="false">(W19*W13*W$6*(W12*(1+N_sw_pct+N_delivery_pct+N_pnr_pct)+P_site_pct+(1-W12)*N_raas_setup)+W20*N_charger_price*W12+(P_integration+N_training)*IF(W19&gt;0,1,0))*(1+N_capex_reserve)</f>
        <v>61604400</v>
      </c>
    </row>
    <row r="22" customFormat="false" ht="15" hidden="false" customHeight="false" outlineLevel="0" collapsed="false">
      <c r="A22" s="2" t="s">
        <v>945</v>
      </c>
      <c r="B22" s="14" t="s">
        <v>946</v>
      </c>
      <c r="C22" s="67" t="n">
        <f aca="false">C19*C13*C$6*((1-C12)*N_raas_pct*12+C12*(N_service_pct+N_license_pct+N_repair_pct))+C19*C14*P_hours_day*365*N_energy_price+(N_connect+P_fleet_per_shift*P_shifts*(1+P_loss_k)*P_fleet_sal*12*N_fot*C$8)*IF(C19&gt;0,1,0)+P_consum_per_robot*C19+C12*C21*N_loan_share*N_loan_rate*(N_loan_years+1)/(2*N_loan_years)</f>
        <v>18801025</v>
      </c>
      <c r="D22" s="67" t="n">
        <f aca="false">D19*D13*D$6*((1-D12)*N_raas_pct*12+D12*(N_service_pct+N_license_pct+N_repair_pct))+D19*D14*P_hours_day*365*N_energy_price+(N_connect+P_fleet_per_shift*P_shifts*(1+P_loss_k)*P_fleet_sal*12*N_fot*D$8)*IF(D19&gt;0,1,0)+P_consum_per_robot*D19+D12*D21*N_loan_share*N_loan_rate*(N_loan_years+1)/(2*N_loan_years)</f>
        <v>16676825</v>
      </c>
      <c r="E22" s="67" t="n">
        <f aca="false">E19*E13*E$6*((1-E12)*N_raas_pct*12+E12*(N_service_pct+N_license_pct+N_repair_pct))+E19*E14*P_hours_day*365*N_energy_price+(N_connect+P_fleet_per_shift*P_shifts*(1+P_loss_k)*P_fleet_sal*12*N_fot*E$8)*IF(E19&gt;0,1,0)+P_consum_per_robot*E19+E12*E21*N_loan_share*N_loan_rate*(N_loan_years+1)/(2*N_loan_years)</f>
        <v>20925225</v>
      </c>
      <c r="F22" s="67" t="n">
        <f aca="false">F19*F13*F$6*((1-F12)*N_raas_pct*12+F12*(N_service_pct+N_license_pct+N_repair_pct))+F19*F14*P_hours_day*365*N_energy_price+(N_connect+P_fleet_per_shift*P_shifts*(1+P_loss_k)*P_fleet_sal*12*N_fot*F$8)*IF(F19&gt;0,1,0)+P_consum_per_robot*F19+F12*F21*N_loan_share*N_loan_rate*(N_loan_years+1)/(2*N_loan_years)</f>
        <v>15842325</v>
      </c>
      <c r="G22" s="67" t="n">
        <f aca="false">G19*G13*G$6*((1-G12)*N_raas_pct*12+G12*(N_service_pct+N_license_pct+N_repair_pct))+G19*G14*P_hours_day*365*N_energy_price+(N_connect+P_fleet_per_shift*P_shifts*(1+P_loss_k)*P_fleet_sal*12*N_fot*G$8)*IF(G19&gt;0,1,0)+P_consum_per_robot*G19+G12*G21*N_loan_share*N_loan_rate*(N_loan_years+1)/(2*N_loan_years)</f>
        <v>21759725</v>
      </c>
      <c r="H22" s="67" t="n">
        <f aca="false">H19*H13*H$6*((1-H12)*N_raas_pct*12+H12*(N_service_pct+N_license_pct+N_repair_pct))+H19*H14*P_hours_day*365*N_energy_price+(N_connect+P_fleet_per_shift*P_shifts*(1+P_loss_k)*P_fleet_sal*12*N_fot*H$8)*IF(H19&gt;0,1,0)+P_consum_per_robot*H19+H12*H21*N_loan_share*N_loan_rate*(N_loan_years+1)/(2*N_loan_years)</f>
        <v>17863585</v>
      </c>
      <c r="I22" s="67" t="n">
        <f aca="false">I19*I13*I$6*((1-I12)*N_raas_pct*12+I12*(N_service_pct+N_license_pct+N_repair_pct))+I19*I14*P_hours_day*365*N_energy_price+(N_connect+P_fleet_per_shift*P_shifts*(1+P_loss_k)*P_fleet_sal*12*N_fot*I$8)*IF(I19&gt;0,1,0)+P_consum_per_robot*I19+I12*I21*N_loan_share*N_loan_rate*(N_loan_years+1)/(2*N_loan_years)</f>
        <v>19738465</v>
      </c>
      <c r="J22" s="67" t="n">
        <f aca="false">J19*J13*J$6*((1-J12)*N_raas_pct*12+J12*(N_service_pct+N_license_pct+N_repair_pct))+J19*J14*P_hours_day*365*N_energy_price+(N_connect+P_fleet_per_shift*P_shifts*(1+P_loss_k)*P_fleet_sal*12*N_fot*J$8)*IF(J19&gt;0,1,0)+P_consum_per_robot*J19+J12*J21*N_loan_share*N_loan_rate*(N_loan_years+1)/(2*N_loan_years)</f>
        <v>37592025</v>
      </c>
      <c r="K22" s="67" t="n">
        <f aca="false">K19*K13*K$6*((1-K12)*N_raas_pct*12+K12*(N_service_pct+N_license_pct+N_repair_pct))+K19*K14*P_hours_day*365*N_energy_price+(N_connect+P_fleet_per_shift*P_shifts*(1+P_loss_k)*P_fleet_sal*12*N_fot*K$8)*IF(K19&gt;0,1,0)+P_consum_per_robot*K19+K12*K21*N_loan_share*N_loan_rate*(N_loan_years+1)/(2*N_loan_years)</f>
        <v>31709625</v>
      </c>
      <c r="L22" s="67" t="n">
        <f aca="false">L19*L13*L$6*((1-L12)*N_raas_pct*12+L12*(N_service_pct+N_license_pct+N_repair_pct))+L19*L14*P_hours_day*365*N_energy_price+(N_connect+P_fleet_per_shift*P_shifts*(1+P_loss_k)*P_fleet_sal*12*N_fot*L$8)*IF(L19&gt;0,1,0)+P_consum_per_robot*L19+L12*L21*N_loan_share*N_loan_rate*(N_loan_years+1)/(2*N_loan_years)</f>
        <v>43474425</v>
      </c>
      <c r="M22" s="67" t="n">
        <f aca="false">M19*M13*M$6*((1-M12)*N_raas_pct*12+M12*(N_service_pct+N_license_pct+N_repair_pct))+M19*M14*P_hours_day*365*N_energy_price+(N_connect+P_fleet_per_shift*P_shifts*(1+P_loss_k)*P_fleet_sal*12*N_fot*M$8)*IF(M19&gt;0,1,0)+P_consum_per_robot*M19+M12*M21*N_loan_share*N_loan_rate*(N_loan_years+1)/(2*N_loan_years)</f>
        <v>30677325</v>
      </c>
      <c r="N22" s="67" t="n">
        <f aca="false">N19*N13*N$6*((1-N12)*N_raas_pct*12+N12*(N_service_pct+N_license_pct+N_repair_pct))+N19*N14*P_hours_day*365*N_energy_price+(N_connect+P_fleet_per_shift*P_shifts*(1+P_loss_k)*P_fleet_sal*12*N_fot*N$8)*IF(N19&gt;0,1,0)+P_consum_per_robot*N19+N12*N21*N_loan_share*N_loan_rate*(N_loan_years+1)/(2*N_loan_years)</f>
        <v>44506725</v>
      </c>
      <c r="O22" s="67" t="n">
        <f aca="false">O19*O13*O$6*((1-O12)*N_raas_pct*12+O12*(N_service_pct+N_license_pct+N_repair_pct))+O19*O14*P_hours_day*365*N_energy_price+(N_connect+P_fleet_per_shift*P_shifts*(1+P_loss_k)*P_fleet_sal*12*N_fot*O$8)*IF(O19&gt;0,1,0)+P_consum_per_robot*O19+O12*O21*N_loan_share*N_loan_rate*(N_loan_years+1)/(2*N_loan_years)</f>
        <v>36654585</v>
      </c>
      <c r="P22" s="67" t="n">
        <f aca="false">P19*P13*P$6*((1-P12)*N_raas_pct*12+P12*(N_service_pct+N_license_pct+N_repair_pct))+P19*P14*P_hours_day*365*N_energy_price+(N_connect+P_fleet_per_shift*P_shifts*(1+P_loss_k)*P_fleet_sal*12*N_fot*P$8)*IF(P19&gt;0,1,0)+P_consum_per_robot*P19+P12*P21*N_loan_share*N_loan_rate*(N_loan_years+1)/(2*N_loan_years)</f>
        <v>38529465</v>
      </c>
      <c r="Q22" s="67" t="n">
        <f aca="false">Q19*Q13*Q$6*((1-Q12)*N_raas_pct*12+Q12*(N_service_pct+N_license_pct+N_repair_pct))+Q19*Q14*P_hours_day*365*N_energy_price+(N_connect+P_fleet_per_shift*P_shifts*(1+P_loss_k)*P_fleet_sal*12*N_fot*Q$8)*IF(Q19&gt;0,1,0)+P_consum_per_robot*Q19+Q12*Q21*N_loan_share*N_loan_rate*(N_loan_years+1)/(2*N_loan_years)</f>
        <v>11326800</v>
      </c>
      <c r="R22" s="67" t="n">
        <f aca="false">R19*R13*R$6*((1-R12)*N_raas_pct*12+R12*(N_service_pct+N_license_pct+N_repair_pct))+R19*R14*P_hours_day*365*N_energy_price+(N_connect+P_fleet_per_shift*P_shifts*(1+P_loss_k)*P_fleet_sal*12*N_fot*R$8)*IF(R19&gt;0,1,0)+P_consum_per_robot*R19+R12*R21*N_loan_share*N_loan_rate*(N_loan_years+1)/(2*N_loan_years)</f>
        <v>10203600</v>
      </c>
      <c r="S22" s="67" t="n">
        <f aca="false">S19*S13*S$6*((1-S12)*N_raas_pct*12+S12*(N_service_pct+N_license_pct+N_repair_pct))+S19*S14*P_hours_day*365*N_energy_price+(N_connect+P_fleet_per_shift*P_shifts*(1+P_loss_k)*P_fleet_sal*12*N_fot*S$8)*IF(S19&gt;0,1,0)+P_consum_per_robot*S19+S12*S21*N_loan_share*N_loan_rate*(N_loan_years+1)/(2*N_loan_years)</f>
        <v>12450000</v>
      </c>
      <c r="T22" s="67" t="n">
        <f aca="false">T19*T13*T$6*((1-T12)*N_raas_pct*12+T12*(N_service_pct+N_license_pct+N_repair_pct))+T19*T14*P_hours_day*365*N_energy_price+(N_connect+P_fleet_per_shift*P_shifts*(1+P_loss_k)*P_fleet_sal*12*N_fot*T$8)*IF(T19&gt;0,1,0)+P_consum_per_robot*T19+T12*T21*N_loan_share*N_loan_rate*(N_loan_years+1)/(2*N_loan_years)</f>
        <v>10093125</v>
      </c>
      <c r="U22" s="67" t="n">
        <f aca="false">U19*U13*U$6*((1-U12)*N_raas_pct*12+U12*(N_service_pct+N_license_pct+N_repair_pct))+U19*U14*P_hours_day*365*N_energy_price+(N_connect+P_fleet_per_shift*P_shifts*(1+P_loss_k)*P_fleet_sal*12*N_fot*U$8)*IF(U19&gt;0,1,0)+P_consum_per_robot*U19+U12*U21*N_loan_share*N_loan_rate*(N_loan_years+1)/(2*N_loan_years)</f>
        <v>12560475</v>
      </c>
      <c r="V22" s="67" t="n">
        <f aca="false">V19*V13*V$6*((1-V12)*N_raas_pct*12+V12*(N_service_pct+N_license_pct+N_repair_pct))+V19*V14*P_hours_day*365*N_energy_price+(N_connect+P_fleet_per_shift*P_shifts*(1+P_loss_k)*P_fleet_sal*12*N_fot*V$8)*IF(V19&gt;0,1,0)+P_consum_per_robot*V19+V12*V21*N_loan_share*N_loan_rate*(N_loan_years+1)/(2*N_loan_years)</f>
        <v>10389360</v>
      </c>
      <c r="W22" s="67" t="n">
        <f aca="false">W19*W13*W$6*((1-W12)*N_raas_pct*12+W12*(N_service_pct+N_license_pct+N_repair_pct))+W19*W14*P_hours_day*365*N_energy_price+(N_connect+P_fleet_per_shift*P_shifts*(1+P_loss_k)*P_fleet_sal*12*N_fot*W$8)*IF(W19&gt;0,1,0)+P_consum_per_robot*W19+W12*W21*N_loan_share*N_loan_rate*(N_loan_years+1)/(2*N_loan_years)</f>
        <v>12264240</v>
      </c>
    </row>
    <row r="23" customFormat="false" ht="15" hidden="false" customHeight="false" outlineLevel="0" collapsed="false">
      <c r="A23" s="2" t="s">
        <v>947</v>
      </c>
      <c r="B23" s="14" t="s">
        <v>948</v>
      </c>
      <c r="C23" s="67" t="n">
        <f aca="false">P_labor_target*C15*C11*C$8*C$7</f>
        <v>35622720</v>
      </c>
      <c r="D23" s="67" t="n">
        <f aca="false">P_labor_target*D15*D11*D$8*D$7</f>
        <v>35622720</v>
      </c>
      <c r="E23" s="67" t="n">
        <f aca="false">P_labor_target*E15*E11*E$8*E$7</f>
        <v>35622720</v>
      </c>
      <c r="F23" s="67" t="n">
        <f aca="false">P_labor_target*F15*F11*F$8*F$7</f>
        <v>28498176</v>
      </c>
      <c r="G23" s="67" t="n">
        <f aca="false">P_labor_target*G15*G11*G$8*G$7</f>
        <v>42747264</v>
      </c>
      <c r="H23" s="67" t="n">
        <f aca="false">P_labor_target*H15*H11*H$8*H$7</f>
        <v>28498176</v>
      </c>
      <c r="I23" s="67" t="n">
        <f aca="false">P_labor_target*I15*I11*I$8*I$7</f>
        <v>42747264</v>
      </c>
      <c r="J23" s="67" t="n">
        <f aca="false">P_labor_target*J15*J11*J$8*J$7</f>
        <v>35622720</v>
      </c>
      <c r="K23" s="67" t="n">
        <f aca="false">P_labor_target*K15*K11*K$8*K$7</f>
        <v>35622720</v>
      </c>
      <c r="L23" s="67" t="n">
        <f aca="false">P_labor_target*L15*L11*L$8*L$7</f>
        <v>35622720</v>
      </c>
      <c r="M23" s="67" t="n">
        <f aca="false">P_labor_target*M15*M11*M$8*M$7</f>
        <v>28498176</v>
      </c>
      <c r="N23" s="67" t="n">
        <f aca="false">P_labor_target*N15*N11*N$8*N$7</f>
        <v>42747264</v>
      </c>
      <c r="O23" s="67" t="n">
        <f aca="false">P_labor_target*O15*O11*O$8*O$7</f>
        <v>28498176</v>
      </c>
      <c r="P23" s="67" t="n">
        <f aca="false">P_labor_target*P15*P11*P$8*P$7</f>
        <v>42747264</v>
      </c>
      <c r="Q23" s="67" t="n">
        <f aca="false">P_labor_target*Q15*Q11*Q$8*Q$7</f>
        <v>26717040</v>
      </c>
      <c r="R23" s="67" t="n">
        <f aca="false">P_labor_target*R15*R11*R$8*R$7</f>
        <v>26717040</v>
      </c>
      <c r="S23" s="67" t="n">
        <f aca="false">P_labor_target*S15*S11*S$8*S$7</f>
        <v>26717040</v>
      </c>
      <c r="T23" s="67" t="n">
        <f aca="false">P_labor_target*T15*T11*T$8*T$7</f>
        <v>21373632</v>
      </c>
      <c r="U23" s="67" t="n">
        <f aca="false">P_labor_target*U15*U11*U$8*U$7</f>
        <v>32060448</v>
      </c>
      <c r="V23" s="67" t="n">
        <f aca="false">P_labor_target*V15*V11*V$8*V$7</f>
        <v>21373632</v>
      </c>
      <c r="W23" s="67" t="n">
        <f aca="false">P_labor_target*W15*W11*W$8*W$7</f>
        <v>32060448</v>
      </c>
    </row>
    <row r="24" customFormat="false" ht="15" hidden="false" customHeight="false" outlineLevel="0" collapsed="false">
      <c r="A24" s="2" t="s">
        <v>949</v>
      </c>
      <c r="B24" s="14" t="s">
        <v>950</v>
      </c>
      <c r="C24" s="67" t="n">
        <f aca="false">P_fte_target*C15*C11*C$7*P_turnover*N_hire_cost*P_sal_target*C$8</f>
        <v>0</v>
      </c>
      <c r="D24" s="67" t="n">
        <f aca="false">P_fte_target*D15*D11*D$7*P_turnover*N_hire_cost*P_sal_target*D$8</f>
        <v>0</v>
      </c>
      <c r="E24" s="67" t="n">
        <f aca="false">P_fte_target*E15*E11*E$7*P_turnover*N_hire_cost*P_sal_target*E$8</f>
        <v>0</v>
      </c>
      <c r="F24" s="67" t="n">
        <f aca="false">P_fte_target*F15*F11*F$7*P_turnover*N_hire_cost*P_sal_target*F$8</f>
        <v>0</v>
      </c>
      <c r="G24" s="67" t="n">
        <f aca="false">P_fte_target*G15*G11*G$7*P_turnover*N_hire_cost*P_sal_target*G$8</f>
        <v>0</v>
      </c>
      <c r="H24" s="67" t="n">
        <f aca="false">P_fte_target*H15*H11*H$7*P_turnover*N_hire_cost*P_sal_target*H$8</f>
        <v>0</v>
      </c>
      <c r="I24" s="67" t="n">
        <f aca="false">P_fte_target*I15*I11*I$7*P_turnover*N_hire_cost*P_sal_target*I$8</f>
        <v>0</v>
      </c>
      <c r="J24" s="67" t="n">
        <f aca="false">P_fte_target*J15*J11*J$7*P_turnover*N_hire_cost*P_sal_target*J$8</f>
        <v>0</v>
      </c>
      <c r="K24" s="67" t="n">
        <f aca="false">P_fte_target*K15*K11*K$7*P_turnover*N_hire_cost*P_sal_target*K$8</f>
        <v>0</v>
      </c>
      <c r="L24" s="67" t="n">
        <f aca="false">P_fte_target*L15*L11*L$7*P_turnover*N_hire_cost*P_sal_target*L$8</f>
        <v>0</v>
      </c>
      <c r="M24" s="67" t="n">
        <f aca="false">P_fte_target*M15*M11*M$7*P_turnover*N_hire_cost*P_sal_target*M$8</f>
        <v>0</v>
      </c>
      <c r="N24" s="67" t="n">
        <f aca="false">P_fte_target*N15*N11*N$7*P_turnover*N_hire_cost*P_sal_target*N$8</f>
        <v>0</v>
      </c>
      <c r="O24" s="67" t="n">
        <f aca="false">P_fte_target*O15*O11*O$7*P_turnover*N_hire_cost*P_sal_target*O$8</f>
        <v>0</v>
      </c>
      <c r="P24" s="67" t="n">
        <f aca="false">P_fte_target*P15*P11*P$7*P_turnover*N_hire_cost*P_sal_target*P$8</f>
        <v>0</v>
      </c>
      <c r="Q24" s="67" t="n">
        <f aca="false">P_fte_target*Q15*Q11*Q$7*P_turnover*N_hire_cost*P_sal_target*Q$8</f>
        <v>0</v>
      </c>
      <c r="R24" s="67" t="n">
        <f aca="false">P_fte_target*R15*R11*R$7*P_turnover*N_hire_cost*P_sal_target*R$8</f>
        <v>0</v>
      </c>
      <c r="S24" s="67" t="n">
        <f aca="false">P_fte_target*S15*S11*S$7*P_turnover*N_hire_cost*P_sal_target*S$8</f>
        <v>0</v>
      </c>
      <c r="T24" s="67" t="n">
        <f aca="false">P_fte_target*T15*T11*T$7*P_turnover*N_hire_cost*P_sal_target*T$8</f>
        <v>0</v>
      </c>
      <c r="U24" s="67" t="n">
        <f aca="false">P_fte_target*U15*U11*U$7*P_turnover*N_hire_cost*P_sal_target*U$8</f>
        <v>0</v>
      </c>
      <c r="V24" s="67" t="n">
        <f aca="false">P_fte_target*V15*V11*V$7*P_turnover*N_hire_cost*P_sal_target*V$8</f>
        <v>0</v>
      </c>
      <c r="W24" s="67" t="n">
        <f aca="false">P_fte_target*W15*W11*W$7*P_turnover*N_hire_cost*P_sal_target*W$8</f>
        <v>0</v>
      </c>
    </row>
    <row r="25" customFormat="false" ht="15" hidden="false" customHeight="false" outlineLevel="0" collapsed="false">
      <c r="A25" s="2" t="s">
        <v>951</v>
      </c>
      <c r="B25" s="3" t="s">
        <v>952</v>
      </c>
      <c r="C25" s="54" t="n">
        <f aca="false">C23-C22+C24+P_other_effects*C11</f>
        <v>16821695</v>
      </c>
      <c r="D25" s="54" t="n">
        <f aca="false">D23-D22+D24+P_other_effects*D11</f>
        <v>18945895</v>
      </c>
      <c r="E25" s="54" t="n">
        <f aca="false">E23-E22+E24+P_other_effects*E11</f>
        <v>14697495</v>
      </c>
      <c r="F25" s="54" t="n">
        <f aca="false">F23-F22+F24+P_other_effects*F11</f>
        <v>12655851</v>
      </c>
      <c r="G25" s="54" t="n">
        <f aca="false">G23-G22+G24+P_other_effects*G11</f>
        <v>20987539</v>
      </c>
      <c r="H25" s="54" t="n">
        <f aca="false">H23-H22+H24+P_other_effects*H11</f>
        <v>10634591</v>
      </c>
      <c r="I25" s="54" t="n">
        <f aca="false">I23-I22+I24+P_other_effects*I11</f>
        <v>23008799</v>
      </c>
      <c r="J25" s="54" t="n">
        <f aca="false">J23-J22+J24+P_other_effects*J11</f>
        <v>-1969305</v>
      </c>
      <c r="K25" s="54" t="n">
        <f aca="false">K23-K22+K24+P_other_effects*K11</f>
        <v>3913095</v>
      </c>
      <c r="L25" s="54" t="n">
        <f aca="false">L23-L22+L24+P_other_effects*L11</f>
        <v>-7851705</v>
      </c>
      <c r="M25" s="54" t="n">
        <f aca="false">M23-M22+M24+P_other_effects*M11</f>
        <v>-2179149</v>
      </c>
      <c r="N25" s="54" t="n">
        <f aca="false">N23-N22+N24+P_other_effects*N11</f>
        <v>-1759461</v>
      </c>
      <c r="O25" s="54" t="n">
        <f aca="false">O23-O22+O24+P_other_effects*O11</f>
        <v>-8156409</v>
      </c>
      <c r="P25" s="54" t="n">
        <f aca="false">P23-P22+P24+P_other_effects*P11</f>
        <v>4217799</v>
      </c>
      <c r="Q25" s="54" t="n">
        <f aca="false">Q23-Q22+Q24+P_other_effects*Q11</f>
        <v>15390240</v>
      </c>
      <c r="R25" s="54" t="n">
        <f aca="false">R23-R22+R24+P_other_effects*R11</f>
        <v>16513440</v>
      </c>
      <c r="S25" s="54" t="n">
        <f aca="false">S23-S22+S24+P_other_effects*S11</f>
        <v>14267040</v>
      </c>
      <c r="T25" s="54" t="n">
        <f aca="false">T23-T22+T24+P_other_effects*T11</f>
        <v>11280507</v>
      </c>
      <c r="U25" s="54" t="n">
        <f aca="false">U23-U22+U24+P_other_effects*U11</f>
        <v>19499973</v>
      </c>
      <c r="V25" s="54" t="n">
        <f aca="false">V23-V22+V24+P_other_effects*V11</f>
        <v>10984272</v>
      </c>
      <c r="W25" s="54" t="n">
        <f aca="false">W23-W22+W24+P_other_effects*W11</f>
        <v>19796208</v>
      </c>
    </row>
    <row r="26" customFormat="false" ht="15" hidden="false" customHeight="false" outlineLevel="0" collapsed="false">
      <c r="A26" s="2" t="s">
        <v>863</v>
      </c>
      <c r="B26" s="3" t="s">
        <v>953</v>
      </c>
      <c r="C26" s="62" t="n">
        <f aca="false">IF(AND(C11=1,C25&gt;0),C21/C25,"не окупается")</f>
        <v>6.74999754780954</v>
      </c>
      <c r="D26" s="62" t="n">
        <f aca="false">IF(AND(D11=1,D25&gt;0),D21/D25,"не окупается")</f>
        <v>4.83577682658961</v>
      </c>
      <c r="E26" s="62" t="n">
        <f aca="false">IF(AND(E11=1,E25&gt;0),E21/E25,"не окупается")</f>
        <v>9.21753536912243</v>
      </c>
      <c r="F26" s="62" t="n">
        <f aca="false">IF(AND(F11=1,F25&gt;0),F21/F25,"не окупается")</f>
        <v>7.12626910667643</v>
      </c>
      <c r="G26" s="62" t="n">
        <f aca="false">IF(AND(G11=1,G25&gt;0),G21/G25,"не окупается")</f>
        <v>6.52309925427655</v>
      </c>
      <c r="H26" s="62" t="n">
        <f aca="false">IF(AND(H11=1,H25&gt;0),H21/H25,"не окупается")</f>
        <v>10.6770819865099</v>
      </c>
      <c r="I26" s="62" t="n">
        <f aca="false">IF(AND(I11=1,I25&gt;0),I21/I25,"не окупается")</f>
        <v>4.93491207428949</v>
      </c>
      <c r="J26" s="62" t="str">
        <f aca="false">IF(AND(J11=1,J25&gt;0),J21/J25,"не окупается")</f>
        <v>не окупается</v>
      </c>
      <c r="K26" s="62" t="n">
        <f aca="false">IF(AND(K11=1,K25&gt;0),K21/K25,"не окупается")</f>
        <v>2.48386507355431</v>
      </c>
      <c r="L26" s="62" t="str">
        <f aca="false">IF(AND(L11=1,L25&gt;0),L21/L25,"не окупается")</f>
        <v>не окупается</v>
      </c>
      <c r="M26" s="62" t="str">
        <f aca="false">IF(AND(M11=1,M25&gt;0),M21/M25,"не окупается")</f>
        <v>не окупается</v>
      </c>
      <c r="N26" s="62" t="str">
        <f aca="false">IF(AND(N11=1,N25&gt;0),N21/N25,"не окупается")</f>
        <v>не окупается</v>
      </c>
      <c r="O26" s="62" t="str">
        <f aca="false">IF(AND(O11=1,O25&gt;0),O21/O25,"не окупается")</f>
        <v>не окупается</v>
      </c>
      <c r="P26" s="62" t="n">
        <f aca="false">IF(AND(P11=1,P25&gt;0),P21/P25,"не окупается")</f>
        <v>2.73057108695791</v>
      </c>
      <c r="Q26" s="62" t="n">
        <f aca="false">IF(AND(Q11=1,Q25&gt;0),Q21/Q25,"не окупается")</f>
        <v>4.00282256806911</v>
      </c>
      <c r="R26" s="62" t="n">
        <f aca="false">IF(AND(R11=1,R25&gt;0),R21/R25,"не окупается")</f>
        <v>3.02841321977735</v>
      </c>
      <c r="S26" s="62" t="n">
        <f aca="false">IF(AND(S11=1,S25&gt;0),S21/S25,"не окупается")</f>
        <v>5.13065639403829</v>
      </c>
      <c r="T26" s="62" t="n">
        <f aca="false">IF(AND(T11=1,T25&gt;0),T21/T25,"не окупается")</f>
        <v>4.49751061720896</v>
      </c>
      <c r="U26" s="62" t="n">
        <f aca="false">IF(AND(U11=1,U25&gt;0),U21/U25,"не окупается")</f>
        <v>3.73075388360794</v>
      </c>
      <c r="V26" s="62" t="n">
        <f aca="false">IF(AND(V11=1,V25&gt;0),V21/V25,"не окупается")</f>
        <v>5.60841901948532</v>
      </c>
      <c r="W26" s="62" t="n">
        <f aca="false">IF(AND(W11=1,W25&gt;0),W21/W25,"не окупается")</f>
        <v>3.11192931494759</v>
      </c>
    </row>
    <row r="27" customFormat="false" ht="15" hidden="false" customHeight="false" outlineLevel="0" collapsed="false">
      <c r="A27" s="2" t="s">
        <v>875</v>
      </c>
      <c r="B27" s="14" t="s">
        <v>954</v>
      </c>
      <c r="C27" s="74" t="n">
        <f aca="false">IF(C21&gt;0,(C25*P_horizon-C12*INT((P_horizon-1)/N_battery_life)*C19*C13*C$6*N_battery_share)/C21,"—")</f>
        <v>0.668788046120352</v>
      </c>
      <c r="D27" s="74" t="n">
        <f aca="false">IF(D21&gt;0,(D25*P_horizon-D12*INT((P_horizon-1)/N_battery_life)*D19*D13*D$6*N_battery_share)/D21,"—")</f>
        <v>0.962620440148739</v>
      </c>
      <c r="E27" s="74" t="n">
        <f aca="false">IF(E21&gt;0,(E25*P_horizon-E12*INT((P_horizon-1)/N_battery_life)*E19*E13*E$6*N_battery_share)/E21,"—")</f>
        <v>0.47007658552875</v>
      </c>
      <c r="F27" s="74" t="n">
        <f aca="false">IF(F21&gt;0,(F25*P_horizon-F12*INT((P_horizon-1)/N_battery_life)*F19*F13*F$6*N_battery_share)/F21,"—")</f>
        <v>0.630112929514686</v>
      </c>
      <c r="G27" s="74" t="n">
        <f aca="false">IF(G21&gt;0,(G25*P_horizon-G12*INT((P_horizon-1)/N_battery_life)*G19*G13*G$6*N_battery_share)/G21,"—")</f>
        <v>0.694266302323237</v>
      </c>
      <c r="H27" s="74" t="n">
        <f aca="false">IF(H21&gt;0,(H25*P_horizon-H12*INT((P_horizon-1)/N_battery_life)*H19*H13*H$6*N_battery_share)/H21,"—")</f>
        <v>0.396339778275665</v>
      </c>
      <c r="I27" s="74" t="n">
        <f aca="false">IF(I21&gt;0,(I25*P_horizon-I12*INT((P_horizon-1)/N_battery_life)*I19*I13*I$6*N_battery_share)/I21,"—")</f>
        <v>0.94123631396504</v>
      </c>
      <c r="J27" s="74" t="n">
        <f aca="false">IF(J21&gt;0,(J25*P_horizon-J12*INT((P_horizon-1)/N_battery_life)*J19*J13*J$6*N_battery_share)/J21,"—")</f>
        <v>-0.854955717634801</v>
      </c>
      <c r="K27" s="74" t="n">
        <f aca="false">IF(K21&gt;0,(K25*P_horizon-K12*INT((P_horizon-1)/N_battery_life)*K19*K13*K$6*N_battery_share)/K21,"—")</f>
        <v>2.01299178978559</v>
      </c>
      <c r="L27" s="74" t="n">
        <f aca="false">IF(L21&gt;0,(L25*P_horizon-L12*INT((P_horizon-1)/N_battery_life)*L19*L13*L$6*N_battery_share)/L21,"—")</f>
        <v>-2.94857635342186</v>
      </c>
      <c r="M27" s="74" t="n">
        <f aca="false">IF(M21&gt;0,(M25*P_horizon-M12*INT((P_horizon-1)/N_battery_life)*M19*M13*M$6*N_battery_share)/M21,"—")</f>
        <v>-1.13202545454545</v>
      </c>
      <c r="N27" s="74" t="n">
        <f aca="false">IF(N21&gt;0,(N25*P_horizon-N12*INT((P_horizon-1)/N_battery_life)*N19*N13*N$6*N_battery_share)/N21,"—")</f>
        <v>-0.656074651353569</v>
      </c>
      <c r="O27" s="74" t="n">
        <f aca="false">IF(O21&gt;0,(O25*P_horizon-O12*INT((P_horizon-1)/N_battery_life)*O19*O13*O$6*N_battery_share)/O21,"—")</f>
        <v>-3.54103021620214</v>
      </c>
      <c r="P27" s="74" t="n">
        <f aca="false">IF(P21&gt;0,(P25*P_horizon-P12*INT((P_horizon-1)/N_battery_life)*P19*P13*P$6*N_battery_share)/P21,"—")</f>
        <v>1.83111878093253</v>
      </c>
      <c r="Q27" s="74" t="n">
        <f aca="false">IF(Q21&gt;0,(Q25*P_horizon-Q12*INT((P_horizon-1)/N_battery_life)*Q19*Q13*Q$6*N_battery_share)/Q21,"—")</f>
        <v>1.17899370824162</v>
      </c>
      <c r="R27" s="74" t="n">
        <f aca="false">IF(R21&gt;0,(R25*P_horizon-R12*INT((P_horizon-1)/N_battery_life)*R19*R13*R$6*N_battery_share)/R21,"—")</f>
        <v>1.58192280189852</v>
      </c>
      <c r="S27" s="74" t="n">
        <f aca="false">IF(S21&gt;0,(S25*P_horizon-S12*INT((P_horizon-1)/N_battery_life)*S19*S13*S$6*N_battery_share)/S21,"—")</f>
        <v>0.903713807021053</v>
      </c>
      <c r="T27" s="74" t="n">
        <f aca="false">IF(T21&gt;0,(T25*P_horizon-T12*INT((P_horizon-1)/N_battery_life)*T19*T13*T$6*N_battery_share)/T21,"—")</f>
        <v>1.04254201307993</v>
      </c>
      <c r="U27" s="74" t="n">
        <f aca="false">IF(U21&gt;0,(U25*P_horizon-U12*INT((P_horizon-1)/N_battery_life)*U19*U13*U$6*N_battery_share)/U21,"—")</f>
        <v>1.26969584712493</v>
      </c>
      <c r="V27" s="74" t="n">
        <f aca="false">IF(V21&gt;0,(V25*P_horizon-V12*INT((P_horizon-1)/N_battery_life)*V19*V13*V$6*N_battery_share)/V21,"—")</f>
        <v>0.821391978495042</v>
      </c>
      <c r="W27" s="74" t="n">
        <f aca="false">IF(W21&gt;0,(W25*P_horizon-W12*INT((P_horizon-1)/N_battery_life)*W19*W13*W$6*N_battery_share)/W21,"—")</f>
        <v>1.5365954379882</v>
      </c>
    </row>
    <row r="29" customFormat="false" ht="15" hidden="false" customHeight="false" outlineLevel="0" collapsed="false">
      <c r="B29" s="2" t="s">
        <v>955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58"/>
    <col collapsed="false" customWidth="true" hidden="false" outlineLevel="0" max="3" min="3" style="0" width="11"/>
    <col collapsed="false" customWidth="true" hidden="false" outlineLevel="0" max="4" min="4" style="0" width="24"/>
    <col collapsed="false" customWidth="true" hidden="false" outlineLevel="0" max="5" min="5" style="0" width="34"/>
    <col collapsed="false" customWidth="true" hidden="false" outlineLevel="0" max="8" min="6" style="0" width="19"/>
    <col collapsed="false" customWidth="true" hidden="false" outlineLevel="0" max="9" min="9" style="0" width="60"/>
    <col collapsed="false" customWidth="true" hidden="false" outlineLevel="0" max="10" min="10" style="0" width="19"/>
  </cols>
  <sheetData>
    <row r="1" customFormat="false" ht="17.35" hidden="false" customHeight="false" outlineLevel="0" collapsed="false">
      <c r="A1" s="1" t="s">
        <v>956</v>
      </c>
    </row>
    <row r="2" customFormat="false" ht="15" hidden="false" customHeight="false" outlineLevel="0" collapsed="false">
      <c r="A2" s="2" t="s">
        <v>957</v>
      </c>
    </row>
    <row r="4" customFormat="false" ht="18" hidden="false" customHeight="true" outlineLevel="0" collapsed="false">
      <c r="A4" s="44" t="s">
        <v>958</v>
      </c>
      <c r="B4" s="44"/>
      <c r="C4" s="44"/>
      <c r="D4" s="44"/>
      <c r="E4" s="44"/>
      <c r="F4" s="44"/>
      <c r="G4" s="44"/>
      <c r="H4" s="44"/>
      <c r="I4" s="44"/>
    </row>
    <row r="5" customFormat="false" ht="31.5" hidden="false" customHeight="true" outlineLevel="0" collapsed="false">
      <c r="A5" s="5" t="s">
        <v>517</v>
      </c>
      <c r="B5" s="5" t="s">
        <v>70</v>
      </c>
      <c r="C5" s="5" t="s">
        <v>71</v>
      </c>
      <c r="D5" s="5" t="s">
        <v>73</v>
      </c>
      <c r="E5" s="5" t="s">
        <v>959</v>
      </c>
      <c r="F5" s="5" t="s">
        <v>520</v>
      </c>
      <c r="G5" s="5" t="s">
        <v>521</v>
      </c>
      <c r="H5" s="5" t="s">
        <v>522</v>
      </c>
      <c r="I5" s="5" t="s">
        <v>960</v>
      </c>
    </row>
    <row r="6" customFormat="false" ht="15" hidden="false" customHeight="false" outlineLevel="0" collapsed="false">
      <c r="A6" s="18" t="s">
        <v>677</v>
      </c>
      <c r="B6" s="15" t="s">
        <v>961</v>
      </c>
      <c r="C6" s="15" t="s">
        <v>92</v>
      </c>
      <c r="D6" s="13" t="s">
        <v>722</v>
      </c>
      <c r="E6" s="18" t="s">
        <v>962</v>
      </c>
      <c r="F6" s="60" t="n">
        <f aca="false">5_Парк!F23</f>
        <v>19</v>
      </c>
      <c r="G6" s="60" t="n">
        <f aca="false">5_Парк!G23</f>
        <v>19</v>
      </c>
      <c r="H6" s="60" t="n">
        <f aca="false">5_Парк!H23</f>
        <v>16</v>
      </c>
      <c r="I6" s="18" t="s">
        <v>963</v>
      </c>
    </row>
    <row r="7" customFormat="false" ht="22.35" hidden="false" customHeight="false" outlineLevel="0" collapsed="false">
      <c r="A7" s="18" t="s">
        <v>680</v>
      </c>
      <c r="B7" s="15" t="s">
        <v>964</v>
      </c>
      <c r="C7" s="15" t="s">
        <v>92</v>
      </c>
      <c r="D7" s="13" t="s">
        <v>722</v>
      </c>
      <c r="E7" s="18" t="s">
        <v>965</v>
      </c>
      <c r="F7" s="60" t="n">
        <f aca="false">5_Парк!F24</f>
        <v>5</v>
      </c>
      <c r="G7" s="60" t="n">
        <f aca="false">5_Парк!G24</f>
        <v>5</v>
      </c>
      <c r="H7" s="60" t="n">
        <f aca="false">5_Парк!H24</f>
        <v>4</v>
      </c>
      <c r="I7" s="18" t="s">
        <v>966</v>
      </c>
    </row>
    <row r="8" customFormat="false" ht="15" hidden="false" customHeight="false" outlineLevel="0" collapsed="false">
      <c r="A8" s="18" t="s">
        <v>659</v>
      </c>
      <c r="B8" s="15" t="s">
        <v>967</v>
      </c>
      <c r="C8" s="15" t="s">
        <v>397</v>
      </c>
      <c r="D8" s="13" t="s">
        <v>722</v>
      </c>
      <c r="E8" s="18" t="s">
        <v>968</v>
      </c>
      <c r="F8" s="47" t="n">
        <f aca="false">5_Парк!F17</f>
        <v>0.9</v>
      </c>
      <c r="G8" s="47" t="n">
        <f aca="false">5_Парк!G17</f>
        <v>0.9</v>
      </c>
      <c r="H8" s="47" t="n">
        <f aca="false">5_Парк!H17</f>
        <v>0.9</v>
      </c>
      <c r="I8" s="18" t="s">
        <v>969</v>
      </c>
    </row>
    <row r="9" customFormat="false" ht="15" hidden="false" customHeight="false" outlineLevel="0" collapsed="false">
      <c r="A9" s="18" t="s">
        <v>540</v>
      </c>
      <c r="B9" s="15" t="s">
        <v>970</v>
      </c>
      <c r="C9" s="15" t="s">
        <v>404</v>
      </c>
      <c r="D9" s="12" t="s">
        <v>32</v>
      </c>
      <c r="E9" s="18" t="s">
        <v>971</v>
      </c>
      <c r="F9" s="60" t="n">
        <f aca="false">3_Решение_фильтры!F24</f>
        <v>60</v>
      </c>
      <c r="G9" s="60" t="n">
        <f aca="false">3_Решение_фильтры!G24</f>
        <v>60</v>
      </c>
      <c r="H9" s="60" t="n">
        <f aca="false">3_Решение_фильтры!H24</f>
        <v>30</v>
      </c>
      <c r="I9" s="18" t="s">
        <v>972</v>
      </c>
    </row>
    <row r="10" customFormat="false" ht="15" hidden="false" customHeight="false" outlineLevel="0" collapsed="false">
      <c r="A10" s="18" t="s">
        <v>543</v>
      </c>
      <c r="B10" s="15" t="s">
        <v>973</v>
      </c>
      <c r="C10" s="15" t="s">
        <v>404</v>
      </c>
      <c r="D10" s="12" t="s">
        <v>32</v>
      </c>
      <c r="E10" s="18" t="s">
        <v>974</v>
      </c>
      <c r="F10" s="60" t="n">
        <f aca="false">3_Решение_фильтры!F25</f>
        <v>60</v>
      </c>
      <c r="G10" s="60" t="n">
        <f aca="false">3_Решение_фильтры!G25</f>
        <v>60</v>
      </c>
      <c r="H10" s="60" t="n">
        <f aca="false">3_Решение_фильтры!H25</f>
        <v>30</v>
      </c>
      <c r="I10" s="18" t="s">
        <v>975</v>
      </c>
    </row>
    <row r="11" customFormat="false" ht="15" hidden="false" customHeight="false" outlineLevel="0" collapsed="false">
      <c r="A11" s="18" t="s">
        <v>571</v>
      </c>
      <c r="B11" s="15" t="s">
        <v>976</v>
      </c>
      <c r="C11" s="15" t="s">
        <v>102</v>
      </c>
      <c r="D11" s="9" t="s">
        <v>28</v>
      </c>
      <c r="E11" s="18" t="s">
        <v>977</v>
      </c>
      <c r="F11" s="60" t="n">
        <f aca="false">3_Решение_фильтры!F34</f>
        <v>10</v>
      </c>
      <c r="G11" s="60" t="n">
        <f aca="false">3_Решение_фильтры!G34</f>
        <v>10</v>
      </c>
      <c r="H11" s="60" t="n">
        <f aca="false">3_Решение_фильтры!H34</f>
        <v>6</v>
      </c>
      <c r="I11" s="18" t="s">
        <v>978</v>
      </c>
    </row>
    <row r="12" customFormat="false" ht="15" hidden="false" customHeight="false" outlineLevel="0" collapsed="false">
      <c r="A12" s="18" t="s">
        <v>574</v>
      </c>
      <c r="B12" s="15" t="s">
        <v>979</v>
      </c>
      <c r="C12" s="15" t="s">
        <v>576</v>
      </c>
      <c r="D12" s="9" t="s">
        <v>28</v>
      </c>
      <c r="E12" s="18" t="s">
        <v>980</v>
      </c>
      <c r="F12" s="60" t="n">
        <f aca="false">3_Решение_фильтры!F35</f>
        <v>90</v>
      </c>
      <c r="G12" s="60" t="n">
        <f aca="false">3_Решение_фильтры!G35</f>
        <v>90</v>
      </c>
      <c r="H12" s="60" t="n">
        <f aca="false">3_Решение_фильтры!H35</f>
        <v>18</v>
      </c>
      <c r="I12" s="18" t="s">
        <v>981</v>
      </c>
    </row>
    <row r="13" customFormat="false" ht="22.35" hidden="false" customHeight="false" outlineLevel="0" collapsed="false">
      <c r="A13" s="18" t="s">
        <v>392</v>
      </c>
      <c r="B13" s="15" t="s">
        <v>982</v>
      </c>
      <c r="C13" s="15" t="s">
        <v>84</v>
      </c>
      <c r="D13" s="12" t="s">
        <v>32</v>
      </c>
      <c r="E13" s="18" t="s">
        <v>983</v>
      </c>
      <c r="F13" s="60" t="n">
        <f aca="false">2_Процесс!G13</f>
        <v>100</v>
      </c>
      <c r="G13" s="60" t="n">
        <f aca="false">2_Процесс!G13</f>
        <v>100</v>
      </c>
      <c r="H13" s="60" t="n">
        <f aca="false">2_Процесс!G13</f>
        <v>100</v>
      </c>
      <c r="I13" s="18" t="s">
        <v>984</v>
      </c>
    </row>
    <row r="14" customFormat="false" ht="15" hidden="false" customHeight="false" outlineLevel="0" collapsed="false">
      <c r="A14" s="18" t="s">
        <v>402</v>
      </c>
      <c r="B14" s="15" t="s">
        <v>985</v>
      </c>
      <c r="C14" s="15" t="s">
        <v>404</v>
      </c>
      <c r="D14" s="12" t="s">
        <v>32</v>
      </c>
      <c r="E14" s="18" t="s">
        <v>986</v>
      </c>
      <c r="F14" s="60" t="n">
        <f aca="false">2_Процесс!G16</f>
        <v>0</v>
      </c>
      <c r="G14" s="60" t="n">
        <f aca="false">2_Процесс!G16</f>
        <v>0</v>
      </c>
      <c r="H14" s="60" t="n">
        <f aca="false">2_Процесс!G16</f>
        <v>0</v>
      </c>
      <c r="I14" s="18" t="s">
        <v>987</v>
      </c>
    </row>
    <row r="15" customFormat="false" ht="15" hidden="false" customHeight="false" outlineLevel="0" collapsed="false">
      <c r="A15" s="18" t="s">
        <v>636</v>
      </c>
      <c r="B15" s="15" t="s">
        <v>988</v>
      </c>
      <c r="C15" s="15" t="s">
        <v>122</v>
      </c>
      <c r="D15" s="13" t="s">
        <v>655</v>
      </c>
      <c r="E15" s="18" t="s">
        <v>989</v>
      </c>
      <c r="F15" s="60" t="n">
        <f aca="false">4_Потребность!F20</f>
        <v>1900</v>
      </c>
      <c r="G15" s="60" t="n">
        <f aca="false">4_Потребность!G20</f>
        <v>1900</v>
      </c>
      <c r="H15" s="60" t="n">
        <f aca="false">4_Потребность!H20</f>
        <v>1900</v>
      </c>
      <c r="I15" s="18" t="s">
        <v>990</v>
      </c>
    </row>
    <row r="16" customFormat="false" ht="15" hidden="false" customHeight="false" outlineLevel="0" collapsed="false">
      <c r="A16" s="18" t="s">
        <v>627</v>
      </c>
      <c r="B16" s="15" t="s">
        <v>991</v>
      </c>
      <c r="C16" s="15" t="s">
        <v>379</v>
      </c>
      <c r="D16" s="13" t="s">
        <v>655</v>
      </c>
      <c r="E16" s="18" t="s">
        <v>992</v>
      </c>
      <c r="F16" s="47" t="n">
        <f aca="false">4_Потребность!F17</f>
        <v>86.3636363636364</v>
      </c>
      <c r="G16" s="47" t="n">
        <f aca="false">4_Потребность!G17</f>
        <v>86.3636363636364</v>
      </c>
      <c r="H16" s="47" t="n">
        <f aca="false">4_Потребность!H17</f>
        <v>86.3636363636364</v>
      </c>
      <c r="I16" s="18" t="s">
        <v>993</v>
      </c>
    </row>
    <row r="17" customFormat="false" ht="22.35" hidden="false" customHeight="false" outlineLevel="0" collapsed="false">
      <c r="A17" s="18" t="s">
        <v>633</v>
      </c>
      <c r="B17" s="15" t="s">
        <v>612</v>
      </c>
      <c r="C17" s="15" t="s">
        <v>125</v>
      </c>
      <c r="D17" s="13" t="s">
        <v>655</v>
      </c>
      <c r="E17" s="18" t="s">
        <v>994</v>
      </c>
      <c r="F17" s="47" t="n">
        <f aca="false">4_Потребность!F19</f>
        <v>129.545454545455</v>
      </c>
      <c r="G17" s="47" t="n">
        <f aca="false">4_Потребность!G19</f>
        <v>129.545454545455</v>
      </c>
      <c r="H17" s="47" t="n">
        <f aca="false">4_Потребность!H19</f>
        <v>129.545454545455</v>
      </c>
      <c r="I17" s="18" t="s">
        <v>995</v>
      </c>
    </row>
    <row r="18" customFormat="false" ht="15" hidden="false" customHeight="false" outlineLevel="0" collapsed="false">
      <c r="A18" s="18" t="s">
        <v>365</v>
      </c>
      <c r="B18" s="15" t="s">
        <v>996</v>
      </c>
      <c r="C18" s="15" t="s">
        <v>102</v>
      </c>
      <c r="D18" s="13" t="s">
        <v>380</v>
      </c>
      <c r="E18" s="18" t="s">
        <v>997</v>
      </c>
      <c r="F18" s="60" t="n">
        <f aca="false">2_Процесс!G5</f>
        <v>22</v>
      </c>
      <c r="G18" s="60" t="n">
        <f aca="false">2_Процесс!G5</f>
        <v>22</v>
      </c>
      <c r="H18" s="60" t="n">
        <f aca="false">2_Процесс!G5</f>
        <v>22</v>
      </c>
      <c r="I18" s="18" t="s">
        <v>998</v>
      </c>
    </row>
    <row r="19" customFormat="false" ht="15" hidden="false" customHeight="false" outlineLevel="0" collapsed="false">
      <c r="A19" s="18" t="s">
        <v>668</v>
      </c>
      <c r="B19" s="15" t="s">
        <v>999</v>
      </c>
      <c r="C19" s="15" t="s">
        <v>404</v>
      </c>
      <c r="D19" s="13" t="s">
        <v>722</v>
      </c>
      <c r="E19" s="18" t="s">
        <v>1000</v>
      </c>
      <c r="F19" s="60" t="n">
        <f aca="false">5_Парк!F20</f>
        <v>342.222222222222</v>
      </c>
      <c r="G19" s="60" t="n">
        <f aca="false">5_Парк!G20</f>
        <v>342.222222222222</v>
      </c>
      <c r="H19" s="60" t="n">
        <f aca="false">5_Парк!H20</f>
        <v>282.222222222222</v>
      </c>
      <c r="I19" s="18" t="s">
        <v>1001</v>
      </c>
    </row>
    <row r="20" customFormat="false" ht="15" hidden="false" customHeight="false" outlineLevel="0" collapsed="false">
      <c r="A20" s="18" t="s">
        <v>674</v>
      </c>
      <c r="B20" s="15" t="s">
        <v>1002</v>
      </c>
      <c r="C20" s="15" t="s">
        <v>125</v>
      </c>
      <c r="D20" s="13" t="s">
        <v>722</v>
      </c>
      <c r="E20" s="18" t="s">
        <v>1003</v>
      </c>
      <c r="F20" s="47" t="n">
        <f aca="false">5_Парк!F22</f>
        <v>7.99480519480519</v>
      </c>
      <c r="G20" s="47" t="n">
        <f aca="false">5_Парк!G22</f>
        <v>7.99480519480519</v>
      </c>
      <c r="H20" s="47" t="n">
        <f aca="false">5_Парк!H22</f>
        <v>9.69448818897638</v>
      </c>
      <c r="I20" s="18" t="s">
        <v>1004</v>
      </c>
    </row>
    <row r="21" customFormat="false" ht="15" hidden="false" customHeight="false" outlineLevel="0" collapsed="false">
      <c r="A21" s="18" t="s">
        <v>683</v>
      </c>
      <c r="B21" s="15" t="s">
        <v>1005</v>
      </c>
      <c r="C21" s="15" t="s">
        <v>125</v>
      </c>
      <c r="D21" s="13" t="s">
        <v>722</v>
      </c>
      <c r="E21" s="18" t="s">
        <v>1006</v>
      </c>
      <c r="F21" s="47" t="n">
        <f aca="false">5_Парк!F25</f>
        <v>151.901298701299</v>
      </c>
      <c r="G21" s="47" t="n">
        <f aca="false">5_Парк!G25</f>
        <v>151.901298701299</v>
      </c>
      <c r="H21" s="47" t="n">
        <f aca="false">5_Парк!H25</f>
        <v>155.111811023622</v>
      </c>
      <c r="I21" s="18" t="s">
        <v>1007</v>
      </c>
    </row>
    <row r="22" customFormat="false" ht="15" hidden="false" customHeight="false" outlineLevel="0" collapsed="false">
      <c r="A22" s="18" t="s">
        <v>686</v>
      </c>
      <c r="B22" s="15" t="s">
        <v>1008</v>
      </c>
      <c r="C22" s="15" t="s">
        <v>688</v>
      </c>
      <c r="D22" s="13" t="s">
        <v>722</v>
      </c>
      <c r="E22" s="18" t="s">
        <v>1009</v>
      </c>
      <c r="F22" s="48" t="n">
        <f aca="false">5_Парк!F26</f>
        <v>0.432098765432099</v>
      </c>
      <c r="G22" s="48" t="n">
        <f aca="false">5_Парк!G26</f>
        <v>0.432098765432099</v>
      </c>
      <c r="H22" s="48" t="n">
        <f aca="false">5_Парк!H26</f>
        <v>0.423155162738496</v>
      </c>
      <c r="I22" s="18" t="s">
        <v>1004</v>
      </c>
    </row>
    <row r="24" customFormat="false" ht="18" hidden="false" customHeight="true" outlineLevel="0" collapsed="false">
      <c r="A24" s="44" t="s">
        <v>1010</v>
      </c>
      <c r="B24" s="44"/>
      <c r="C24" s="44"/>
      <c r="D24" s="44"/>
      <c r="E24" s="44"/>
      <c r="F24" s="44"/>
      <c r="G24" s="44"/>
      <c r="H24" s="44"/>
      <c r="I24" s="44"/>
    </row>
    <row r="25" customFormat="false" ht="31.5" hidden="false" customHeight="true" outlineLevel="0" collapsed="false">
      <c r="A25" s="5" t="s">
        <v>517</v>
      </c>
      <c r="B25" s="5" t="s">
        <v>1011</v>
      </c>
      <c r="C25" s="5" t="s">
        <v>71</v>
      </c>
      <c r="D25" s="5" t="s">
        <v>73</v>
      </c>
      <c r="E25" s="5" t="s">
        <v>1012</v>
      </c>
      <c r="F25" s="5" t="s">
        <v>520</v>
      </c>
      <c r="G25" s="5" t="s">
        <v>521</v>
      </c>
      <c r="H25" s="5" t="s">
        <v>522</v>
      </c>
      <c r="I25" s="5" t="s">
        <v>1013</v>
      </c>
    </row>
    <row r="26" customFormat="false" ht="15" hidden="false" customHeight="false" outlineLevel="0" collapsed="false">
      <c r="A26" s="18" t="s">
        <v>1014</v>
      </c>
      <c r="B26" s="15" t="s">
        <v>1015</v>
      </c>
      <c r="C26" s="15" t="s">
        <v>125</v>
      </c>
      <c r="D26" s="18" t="s">
        <v>1016</v>
      </c>
      <c r="E26" s="18" t="s">
        <v>1017</v>
      </c>
      <c r="F26" s="75"/>
      <c r="G26" s="75"/>
      <c r="H26" s="75"/>
      <c r="I26" s="18" t="s">
        <v>1018</v>
      </c>
    </row>
    <row r="27" customFormat="false" ht="22.35" hidden="false" customHeight="false" outlineLevel="0" collapsed="false">
      <c r="A27" s="18" t="s">
        <v>1019</v>
      </c>
      <c r="B27" s="15" t="s">
        <v>1020</v>
      </c>
      <c r="C27" s="15" t="s">
        <v>404</v>
      </c>
      <c r="D27" s="18" t="s">
        <v>1016</v>
      </c>
      <c r="E27" s="18" t="s">
        <v>1021</v>
      </c>
      <c r="F27" s="75"/>
      <c r="G27" s="75"/>
      <c r="H27" s="75"/>
      <c r="I27" s="18" t="s">
        <v>1022</v>
      </c>
    </row>
    <row r="28" customFormat="false" ht="22.35" hidden="false" customHeight="false" outlineLevel="0" collapsed="false">
      <c r="A28" s="18" t="s">
        <v>1023</v>
      </c>
      <c r="B28" s="15" t="s">
        <v>1024</v>
      </c>
      <c r="C28" s="15" t="s">
        <v>688</v>
      </c>
      <c r="D28" s="18" t="s">
        <v>1016</v>
      </c>
      <c r="E28" s="18" t="s">
        <v>1025</v>
      </c>
      <c r="F28" s="23"/>
      <c r="G28" s="23"/>
      <c r="H28" s="23"/>
      <c r="I28" s="18" t="s">
        <v>1026</v>
      </c>
    </row>
    <row r="29" customFormat="false" ht="22.35" hidden="false" customHeight="false" outlineLevel="0" collapsed="false">
      <c r="A29" s="18" t="s">
        <v>1027</v>
      </c>
      <c r="B29" s="15" t="s">
        <v>1028</v>
      </c>
      <c r="C29" s="15" t="s">
        <v>404</v>
      </c>
      <c r="D29" s="18" t="s">
        <v>1016</v>
      </c>
      <c r="E29" s="18" t="s">
        <v>1029</v>
      </c>
      <c r="F29" s="75"/>
      <c r="G29" s="75"/>
      <c r="H29" s="75"/>
      <c r="I29" s="18" t="s">
        <v>1030</v>
      </c>
    </row>
    <row r="30" customFormat="false" ht="15" hidden="false" customHeight="false" outlineLevel="0" collapsed="false">
      <c r="A30" s="18" t="s">
        <v>1031</v>
      </c>
      <c r="B30" s="15" t="s">
        <v>1032</v>
      </c>
      <c r="C30" s="15" t="s">
        <v>688</v>
      </c>
      <c r="D30" s="18" t="s">
        <v>1016</v>
      </c>
      <c r="E30" s="18" t="s">
        <v>1033</v>
      </c>
      <c r="F30" s="23"/>
      <c r="G30" s="23"/>
      <c r="H30" s="23"/>
      <c r="I30" s="18" t="s">
        <v>1034</v>
      </c>
    </row>
    <row r="31" customFormat="false" ht="22.35" hidden="false" customHeight="false" outlineLevel="0" collapsed="false">
      <c r="A31" s="18" t="s">
        <v>1035</v>
      </c>
      <c r="B31" s="15" t="s">
        <v>1036</v>
      </c>
      <c r="C31" s="15" t="s">
        <v>688</v>
      </c>
      <c r="D31" s="18" t="s">
        <v>1016</v>
      </c>
      <c r="E31" s="18" t="s">
        <v>1037</v>
      </c>
      <c r="F31" s="23"/>
      <c r="G31" s="23"/>
      <c r="H31" s="23"/>
      <c r="I31" s="18" t="s">
        <v>1038</v>
      </c>
    </row>
    <row r="33" customFormat="false" ht="15" hidden="false" customHeight="false" outlineLevel="0" collapsed="false">
      <c r="B33" s="3" t="s">
        <v>1039</v>
      </c>
    </row>
    <row r="34" customFormat="false" ht="15" hidden="false" customHeight="false" outlineLevel="0" collapsed="false">
      <c r="B34" s="3" t="s">
        <v>1040</v>
      </c>
      <c r="F34" s="76" t="str">
        <f aca="false">IF(F26="","нет данных",IF(F26&gt;=F17,"ДА","НЕТ — парк недостаточен"))</f>
        <v>нет данных</v>
      </c>
      <c r="G34" s="76" t="str">
        <f aca="false">IF(G26="","нет данных",IF(G26&gt;=G17,"ДА","НЕТ — парк недостаточен"))</f>
        <v>нет данных</v>
      </c>
      <c r="H34" s="76" t="str">
        <f aca="false">IF(H26="","нет данных",IF(H26&gt;=H17,"ДА","НЕТ — парк недостаточен"))</f>
        <v>нет данных</v>
      </c>
    </row>
    <row r="35" customFormat="false" ht="15" hidden="false" customHeight="false" outlineLevel="0" collapsed="false">
      <c r="B35" s="3" t="s">
        <v>1041</v>
      </c>
      <c r="F35" s="76" t="str">
        <f aca="false">IF(F27="","нет данных",IF(ABS(F27/F19-1)&lt;=N_sim_tol,"ДА","НЕТ — уточнить N_kv / времена операций / лифты"))</f>
        <v>нет данных</v>
      </c>
      <c r="G35" s="76" t="str">
        <f aca="false">IF(G27="","нет данных",IF(ABS(G27/G19-1)&lt;=N_sim_tol,"ДА","НЕТ — уточнить N_kv / времена операций / лифты"))</f>
        <v>нет данных</v>
      </c>
      <c r="H35" s="76" t="str">
        <f aca="false">IF(H27="","нет данных",IF(ABS(H27/H19-1)&lt;=N_sim_tol,"ДА","НЕТ — уточнить N_kv / времена операций / лифты"))</f>
        <v>нет данных</v>
      </c>
    </row>
    <row r="36" customFormat="false" ht="15" hidden="false" customHeight="false" outlineLevel="0" collapsed="false">
      <c r="B36" s="3" t="s">
        <v>1042</v>
      </c>
      <c r="F36" s="76" t="str">
        <f aca="false">IF(F28="","нет данных",IF(ABS(F28-F22)&lt;=N_sim_tol,"ДА","НЕТ — пересмотреть состав парка"))</f>
        <v>нет данных</v>
      </c>
      <c r="G36" s="76" t="str">
        <f aca="false">IF(G28="","нет данных",IF(ABS(G28-G22)&lt;=N_sim_tol,"ДА","НЕТ — пересмотреть состав парка"))</f>
        <v>нет данных</v>
      </c>
      <c r="H36" s="76" t="str">
        <f aca="false">IF(H28="","нет данных",IF(ABS(H28-H22)&lt;=N_sim_tol,"ДА","НЕТ — пересмотреть состав парка"))</f>
        <v>нет данных</v>
      </c>
    </row>
    <row r="37" customFormat="false" ht="15" hidden="false" customHeight="false" outlineLevel="0" collapsed="false">
      <c r="B37" s="3" t="s">
        <v>1043</v>
      </c>
      <c r="F37" s="76" t="str">
        <f aca="false">IF(OR(F34="нет данных",F35="нет данных",F36="нет данных"),"нет данных",IF(AND(F34="ДА",F35="ДА",F36="ДА"),"ПОДТВЕРЖДЁН","ТРЕБУЕТ КОРРЕКТИРОВКИ"))</f>
        <v>нет данных</v>
      </c>
      <c r="G37" s="76" t="str">
        <f aca="false">IF(OR(G34="нет данных",G35="нет данных",G36="нет данных"),"нет данных",IF(AND(G34="ДА",G35="ДА",G36="ДА"),"ПОДТВЕРЖДЁН","ТРЕБУЕТ КОРРЕКТИРОВКИ"))</f>
        <v>нет данных</v>
      </c>
      <c r="H37" s="76" t="str">
        <f aca="false">IF(OR(H34="нет данных",H35="нет данных",H36="нет данных"),"нет данных",IF(AND(H34="ДА",H35="ДА",H36="ДА"),"ПОДТВЕРЖДЁН","ТРЕБУЕТ КОРРЕКТИРОВКИ"))</f>
        <v>нет данных</v>
      </c>
    </row>
    <row r="39" customFormat="false" ht="42" hidden="false" customHeight="true" outlineLevel="0" collapsed="false">
      <c r="B39" s="59" t="s">
        <v>1044</v>
      </c>
      <c r="C39" s="59"/>
      <c r="D39" s="59"/>
      <c r="E39" s="59"/>
      <c r="F39" s="59"/>
      <c r="G39" s="59"/>
      <c r="H39" s="59"/>
      <c r="I39" s="59"/>
    </row>
    <row r="40" customFormat="false" ht="42" hidden="false" customHeight="true" outlineLevel="0" collapsed="false">
      <c r="B40" s="59" t="s">
        <v>1045</v>
      </c>
      <c r="C40" s="59"/>
      <c r="D40" s="59"/>
      <c r="E40" s="59"/>
      <c r="F40" s="59"/>
      <c r="G40" s="59"/>
      <c r="H40" s="59"/>
      <c r="I40" s="59"/>
    </row>
    <row r="41" customFormat="false" ht="42" hidden="false" customHeight="true" outlineLevel="0" collapsed="false">
      <c r="B41" s="59" t="s">
        <v>1046</v>
      </c>
      <c r="C41" s="59"/>
      <c r="D41" s="59"/>
      <c r="E41" s="59"/>
      <c r="F41" s="59"/>
      <c r="G41" s="59"/>
      <c r="H41" s="59"/>
      <c r="I41" s="59"/>
    </row>
  </sheetData>
  <mergeCells count="3">
    <mergeCell ref="B39:I39"/>
    <mergeCell ref="B40:I40"/>
    <mergeCell ref="B41:I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0"/>
    <col collapsed="false" customWidth="true" hidden="false" outlineLevel="0" max="6" min="3" style="0" width="26"/>
    <col collapsed="false" customWidth="true" hidden="false" outlineLevel="0" max="10" min="7" style="0" width="19"/>
  </cols>
  <sheetData>
    <row r="1" customFormat="false" ht="17.35" hidden="false" customHeight="false" outlineLevel="0" collapsed="false">
      <c r="A1" s="1" t="s">
        <v>1047</v>
      </c>
    </row>
    <row r="2" customFormat="false" ht="15" hidden="false" customHeight="false" outlineLevel="0" collapsed="false">
      <c r="A2" s="2" t="s">
        <v>1048</v>
      </c>
    </row>
    <row r="4" customFormat="false" ht="15" hidden="false" customHeight="false" outlineLevel="0" collapsed="false">
      <c r="A4" s="3" t="s">
        <v>1049</v>
      </c>
      <c r="B4" s="8" t="str">
        <f aca="false">SEL_OBJ</f>
        <v>Склад</v>
      </c>
    </row>
    <row r="5" customFormat="false" ht="15" hidden="false" customHeight="false" outlineLevel="0" collapsed="false">
      <c r="A5" s="3" t="s">
        <v>22</v>
      </c>
      <c r="B5" s="8" t="str">
        <f aca="false">SEL_PROC</f>
        <v>перемещение паллет док ↔ хранение</v>
      </c>
    </row>
    <row r="7" customFormat="false" ht="31.5" hidden="false" customHeight="true" outlineLevel="0" collapsed="false">
      <c r="A7" s="5" t="s">
        <v>518</v>
      </c>
      <c r="B7" s="5" t="s">
        <v>71</v>
      </c>
      <c r="C7" s="5" t="s">
        <v>916</v>
      </c>
      <c r="D7" s="5" t="s">
        <v>520</v>
      </c>
      <c r="E7" s="5" t="s">
        <v>521</v>
      </c>
      <c r="F7" s="5" t="s">
        <v>522</v>
      </c>
      <c r="G7" s="5" t="s">
        <v>1050</v>
      </c>
    </row>
    <row r="8" customFormat="false" ht="15" hidden="false" customHeight="false" outlineLevel="0" collapsed="false">
      <c r="A8" s="77" t="s">
        <v>1051</v>
      </c>
      <c r="B8" s="78"/>
      <c r="C8" s="78" t="s">
        <v>1052</v>
      </c>
      <c r="D8" s="79" t="str">
        <f aca="false">3_Решение_фильтры!F18</f>
        <v>DMR Carrier P (FMR)</v>
      </c>
      <c r="E8" s="79" t="str">
        <f aca="false">3_Решение_фильтры!G18</f>
        <v>DMR Carrier P (FMR)</v>
      </c>
      <c r="F8" s="79" t="str">
        <f aca="false">3_Решение_фильтры!H18</f>
        <v>Ronavi H1500 (AMR, 1500 кг)</v>
      </c>
      <c r="G8" s="80" t="s">
        <v>1053</v>
      </c>
    </row>
    <row r="9" customFormat="false" ht="23.85" hidden="false" customHeight="false" outlineLevel="0" collapsed="false">
      <c r="A9" s="77" t="s">
        <v>1054</v>
      </c>
      <c r="B9" s="78"/>
      <c r="C9" s="78" t="s">
        <v>1052</v>
      </c>
      <c r="D9" s="79" t="str">
        <f aca="false">3_Решение_фильтры!F44</f>
        <v>Применимо: ключевые ограничения выполнены</v>
      </c>
      <c r="E9" s="79" t="str">
        <f aca="false">3_Решение_фильтры!G44</f>
        <v>Применимо: ключевые ограничения выполнены</v>
      </c>
      <c r="F9" s="79" t="str">
        <f aca="false">3_Решение_фильтры!H44</f>
        <v>Применимо: ключевые ограничения выполнены</v>
      </c>
      <c r="G9" s="80" t="s">
        <v>1053</v>
      </c>
    </row>
    <row r="10" customFormat="false" ht="15" hidden="false" customHeight="false" outlineLevel="0" collapsed="false">
      <c r="A10" s="77" t="s">
        <v>1055</v>
      </c>
      <c r="B10" s="78" t="s">
        <v>92</v>
      </c>
      <c r="C10" s="81" t="n">
        <v>0</v>
      </c>
      <c r="D10" s="82" t="n">
        <f aca="false">5_Парк!F23</f>
        <v>19</v>
      </c>
      <c r="E10" s="82" t="n">
        <f aca="false">5_Парк!G23</f>
        <v>19</v>
      </c>
      <c r="F10" s="82" t="n">
        <f aca="false">5_Парк!H23</f>
        <v>16</v>
      </c>
      <c r="G10" s="80" t="s">
        <v>1056</v>
      </c>
    </row>
    <row r="11" customFormat="false" ht="15" hidden="false" customHeight="false" outlineLevel="0" collapsed="false">
      <c r="A11" s="77" t="s">
        <v>1057</v>
      </c>
      <c r="B11" s="78" t="s">
        <v>215</v>
      </c>
      <c r="C11" s="83" t="n">
        <v>0</v>
      </c>
      <c r="D11" s="84" t="n">
        <f aca="false">7_CAPEX!F25</f>
        <v>113546400</v>
      </c>
      <c r="E11" s="84" t="n">
        <f aca="false">7_CAPEX!G25</f>
        <v>11517000</v>
      </c>
      <c r="F11" s="84" t="n">
        <f aca="false">7_CAPEX!H25</f>
        <v>61604400</v>
      </c>
      <c r="G11" s="80" t="s">
        <v>1058</v>
      </c>
    </row>
    <row r="12" customFormat="false" ht="15" hidden="false" customHeight="false" outlineLevel="0" collapsed="false">
      <c r="A12" s="77" t="s">
        <v>768</v>
      </c>
      <c r="B12" s="78"/>
      <c r="C12" s="78" t="s">
        <v>1052</v>
      </c>
      <c r="D12" s="79" t="str">
        <f aca="false">7_CAPEX!F26</f>
        <v>Превышает бюджет</v>
      </c>
      <c r="E12" s="79" t="str">
        <f aca="false">7_CAPEX!G26</f>
        <v>В бюджете</v>
      </c>
      <c r="F12" s="79" t="str">
        <f aca="false">7_CAPEX!H26</f>
        <v>В бюджете</v>
      </c>
      <c r="G12" s="80" t="s">
        <v>1058</v>
      </c>
    </row>
    <row r="13" customFormat="false" ht="15" hidden="false" customHeight="false" outlineLevel="0" collapsed="false">
      <c r="A13" s="77" t="s">
        <v>1059</v>
      </c>
      <c r="B13" s="78" t="s">
        <v>255</v>
      </c>
      <c r="C13" s="85" t="n">
        <f aca="false">6_База!F14</f>
        <v>46872000</v>
      </c>
      <c r="D13" s="84" t="n">
        <f aca="false">9_Эффект!F19</f>
        <v>30050305</v>
      </c>
      <c r="E13" s="84" t="n">
        <f aca="false">9_Эффект!G19</f>
        <v>48841305</v>
      </c>
      <c r="F13" s="84" t="n">
        <f aca="false">9_Эффект!H19</f>
        <v>31481760</v>
      </c>
      <c r="G13" s="80" t="s">
        <v>1060</v>
      </c>
    </row>
    <row r="14" customFormat="false" ht="15" hidden="false" customHeight="false" outlineLevel="0" collapsed="false">
      <c r="A14" s="77" t="s">
        <v>1061</v>
      </c>
      <c r="B14" s="78" t="s">
        <v>255</v>
      </c>
      <c r="C14" s="83" t="n">
        <v>0</v>
      </c>
      <c r="D14" s="84" t="n">
        <f aca="false">8_OPEX!F24</f>
        <v>18801025</v>
      </c>
      <c r="E14" s="84" t="n">
        <f aca="false">8_OPEX!G24</f>
        <v>37592025</v>
      </c>
      <c r="F14" s="84" t="n">
        <f aca="false">8_OPEX!H24</f>
        <v>11326800</v>
      </c>
      <c r="G14" s="80" t="s">
        <v>1062</v>
      </c>
    </row>
    <row r="15" customFormat="false" ht="15" hidden="false" customHeight="false" outlineLevel="0" collapsed="false">
      <c r="A15" s="77" t="s">
        <v>1063</v>
      </c>
      <c r="B15" s="78" t="s">
        <v>255</v>
      </c>
      <c r="C15" s="83" t="n">
        <v>0</v>
      </c>
      <c r="D15" s="84" t="n">
        <f aca="false">9_Эффект!F20</f>
        <v>-16821695</v>
      </c>
      <c r="E15" s="84" t="n">
        <f aca="false">9_Эффект!G20</f>
        <v>1969305</v>
      </c>
      <c r="F15" s="84" t="n">
        <f aca="false">9_Эффект!H20</f>
        <v>-15390240</v>
      </c>
      <c r="G15" s="80" t="s">
        <v>1060</v>
      </c>
    </row>
    <row r="16" customFormat="false" ht="15" hidden="false" customHeight="false" outlineLevel="0" collapsed="false">
      <c r="A16" s="77" t="s">
        <v>1064</v>
      </c>
      <c r="B16" s="78" t="s">
        <v>456</v>
      </c>
      <c r="C16" s="86" t="n">
        <v>0</v>
      </c>
      <c r="D16" s="87" t="n">
        <f aca="false">9_Эффект!F16</f>
        <v>19</v>
      </c>
      <c r="E16" s="87" t="n">
        <f aca="false">9_Эффект!G16</f>
        <v>19</v>
      </c>
      <c r="F16" s="87" t="n">
        <f aca="false">9_Эффект!H16</f>
        <v>14.25</v>
      </c>
      <c r="G16" s="80" t="s">
        <v>1060</v>
      </c>
    </row>
    <row r="17" customFormat="false" ht="15" hidden="false" customHeight="false" outlineLevel="0" collapsed="false">
      <c r="A17" s="77" t="s">
        <v>1065</v>
      </c>
      <c r="B17" s="78" t="s">
        <v>255</v>
      </c>
      <c r="C17" s="83" t="n">
        <v>0</v>
      </c>
      <c r="D17" s="84" t="n">
        <f aca="false">9_Эффект!F23</f>
        <v>16821695</v>
      </c>
      <c r="E17" s="84" t="n">
        <f aca="false">9_Эффект!G23</f>
        <v>-1969305</v>
      </c>
      <c r="F17" s="84" t="n">
        <f aca="false">9_Эффект!H23</f>
        <v>15390240</v>
      </c>
      <c r="G17" s="80" t="s">
        <v>1060</v>
      </c>
    </row>
    <row r="18" customFormat="false" ht="15" hidden="false" customHeight="false" outlineLevel="0" collapsed="false">
      <c r="A18" s="77" t="s">
        <v>1066</v>
      </c>
      <c r="B18" s="78" t="s">
        <v>255</v>
      </c>
      <c r="C18" s="83" t="n">
        <v>0</v>
      </c>
      <c r="D18" s="84" t="n">
        <f aca="false">9_Эффект!F25</f>
        <v>600780.714285715</v>
      </c>
      <c r="E18" s="84" t="n">
        <f aca="false">9_Эффект!G25</f>
        <v>-1969305</v>
      </c>
      <c r="F18" s="84" t="n">
        <f aca="false">9_Эффект!H25</f>
        <v>6589611.42857143</v>
      </c>
      <c r="G18" s="80" t="s">
        <v>1060</v>
      </c>
    </row>
    <row r="19" customFormat="false" ht="15" hidden="false" customHeight="false" outlineLevel="0" collapsed="false">
      <c r="A19" s="77" t="s">
        <v>1067</v>
      </c>
      <c r="B19" s="78" t="s">
        <v>186</v>
      </c>
      <c r="C19" s="86" t="s">
        <v>1052</v>
      </c>
      <c r="D19" s="87" t="n">
        <f aca="false">9_Эффект!F26</f>
        <v>6.74999754780954</v>
      </c>
      <c r="E19" s="87" t="str">
        <f aca="false">9_Эффект!G26</f>
        <v>не окупается</v>
      </c>
      <c r="F19" s="87" t="n">
        <f aca="false">9_Эффект!H26</f>
        <v>4.00282256806911</v>
      </c>
      <c r="G19" s="80" t="s">
        <v>1060</v>
      </c>
    </row>
    <row r="20" customFormat="false" ht="15" hidden="false" customHeight="false" outlineLevel="0" collapsed="false">
      <c r="A20" s="77" t="s">
        <v>1068</v>
      </c>
      <c r="B20" s="78" t="s">
        <v>688</v>
      </c>
      <c r="C20" s="88" t="s">
        <v>1052</v>
      </c>
      <c r="D20" s="89" t="n">
        <f aca="false">9_Эффект!F30</f>
        <v>0.668788046120353</v>
      </c>
      <c r="E20" s="89" t="n">
        <f aca="false">9_Эффект!G30</f>
        <v>-0.854955717634801</v>
      </c>
      <c r="F20" s="89" t="n">
        <f aca="false">9_Эффект!H30</f>
        <v>1.17899370824162</v>
      </c>
      <c r="G20" s="80" t="s">
        <v>1060</v>
      </c>
    </row>
    <row r="21" customFormat="false" ht="15" hidden="false" customHeight="false" outlineLevel="0" collapsed="false">
      <c r="A21" s="77" t="s">
        <v>1069</v>
      </c>
      <c r="B21" s="78" t="s">
        <v>215</v>
      </c>
      <c r="C21" s="83" t="s">
        <v>1052</v>
      </c>
      <c r="D21" s="84" t="n">
        <f aca="false">10_ДенПоток!E21</f>
        <v>-61828693.3650522</v>
      </c>
      <c r="E21" s="84" t="n">
        <f aca="false">10_ДенПоток!H21</f>
        <v>-18118415.7952893</v>
      </c>
      <c r="F21" s="84" t="n">
        <f aca="false">10_ДенПоток!K21</f>
        <v>-12483902.5453429</v>
      </c>
      <c r="G21" s="80" t="s">
        <v>1070</v>
      </c>
    </row>
    <row r="22" customFormat="false" ht="15" hidden="false" customHeight="false" outlineLevel="0" collapsed="false">
      <c r="A22" s="77" t="s">
        <v>910</v>
      </c>
      <c r="B22" s="78" t="s">
        <v>688</v>
      </c>
      <c r="C22" s="88" t="s">
        <v>1052</v>
      </c>
      <c r="D22" s="89" t="n">
        <f aca="false">10_ДенПоток!E22</f>
        <v>-0.124234559710071</v>
      </c>
      <c r="E22" s="89" t="str">
        <f aca="false">10_ДенПоток!H22</f>
        <v>—</v>
      </c>
      <c r="F22" s="89" t="n">
        <f aca="false">10_ДенПоток!K22</f>
        <v>0.058798111211992</v>
      </c>
      <c r="G22" s="80" t="s">
        <v>1070</v>
      </c>
    </row>
    <row r="23" customFormat="false" ht="15" hidden="false" customHeight="false" outlineLevel="0" collapsed="false">
      <c r="A23" s="77" t="s">
        <v>1071</v>
      </c>
      <c r="B23" s="78" t="s">
        <v>215</v>
      </c>
      <c r="C23" s="83" t="n">
        <v>0</v>
      </c>
      <c r="D23" s="84" t="n">
        <f aca="false">9_Эффект!F32</f>
        <v>215721525</v>
      </c>
      <c r="E23" s="84" t="n">
        <f aca="false">9_Эффект!G32</f>
        <v>199477125</v>
      </c>
      <c r="F23" s="84" t="n">
        <f aca="false">9_Эффект!H32</f>
        <v>122558400</v>
      </c>
      <c r="G23" s="80" t="s">
        <v>1060</v>
      </c>
    </row>
    <row r="24" customFormat="false" ht="15" hidden="false" customHeight="false" outlineLevel="0" collapsed="false">
      <c r="A24" s="77" t="s">
        <v>1072</v>
      </c>
      <c r="B24" s="78" t="s">
        <v>215</v>
      </c>
      <c r="C24" s="85" t="n">
        <f aca="false">6_База!F15</f>
        <v>234360000</v>
      </c>
      <c r="D24" s="84" t="n">
        <f aca="false">9_Эффект!F33</f>
        <v>271967925</v>
      </c>
      <c r="E24" s="84" t="n">
        <f aca="false">9_Эффект!G33</f>
        <v>255723525</v>
      </c>
      <c r="F24" s="84" t="n">
        <f aca="false">9_Эффект!H33</f>
        <v>223333200</v>
      </c>
      <c r="G24" s="80" t="s">
        <v>1060</v>
      </c>
    </row>
    <row r="25" customFormat="false" ht="23.85" hidden="false" customHeight="false" outlineLevel="0" collapsed="false">
      <c r="A25" s="77" t="s">
        <v>1073</v>
      </c>
      <c r="B25" s="78"/>
      <c r="C25" s="78" t="s">
        <v>1052</v>
      </c>
      <c r="D25" s="79" t="str">
        <f aca="false">9_Эффект!F35</f>
        <v>Низкая — требует уточнения данных</v>
      </c>
      <c r="E25" s="79" t="str">
        <f aca="false">9_Эффект!G35</f>
        <v>Не окупается</v>
      </c>
      <c r="F25" s="79" t="str">
        <f aca="false">9_Эффект!H35</f>
        <v>Средняя — рекомендован пилот</v>
      </c>
      <c r="G25" s="80" t="s">
        <v>1060</v>
      </c>
    </row>
    <row r="26" customFormat="false" ht="35.05" hidden="false" customHeight="false" outlineLevel="0" collapsed="false">
      <c r="A26" s="77" t="s">
        <v>894</v>
      </c>
      <c r="B26" s="78"/>
      <c r="C26" s="78" t="s">
        <v>1052</v>
      </c>
      <c r="D26" s="79" t="str">
        <f aca="false">9_Эффект!F36</f>
        <v>Зрелость: piloting; ТТХ требуют подтверждения; CAPEX выше бюджета; </v>
      </c>
      <c r="E26" s="79" t="str">
        <f aca="false">9_Эффект!G36</f>
        <v>Зрелость: piloting; ТТХ требуют подтверждения; </v>
      </c>
      <c r="F26" s="79" t="str">
        <f aca="false">9_Эффект!H36</f>
        <v/>
      </c>
      <c r="G26" s="80" t="s">
        <v>1060</v>
      </c>
    </row>
    <row r="28" customFormat="false" ht="15" hidden="false" customHeight="false" outlineLevel="0" collapsed="false">
      <c r="A28" s="2" t="s">
        <v>1074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2026-09-17T19:57:27Z</dcterms:created>
  <dc:creator>openpyxl</dc:creator>
  <dc:description/>
  <dc:language>en-US</dc:language>
  <cp:lastModifiedBy/>
  <dcterms:modified xsi:type="dcterms:W3CDTF">2026-09-17T19:57:27Z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