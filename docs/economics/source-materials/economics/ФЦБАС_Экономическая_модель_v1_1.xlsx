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amil/tech/github.com/alewkinr/robotics-marketplace/inputs/"/>
    </mc:Choice>
  </mc:AlternateContent>
  <xr:revisionPtr revIDLastSave="0" documentId="13_ncr:1_{995ED2FB-36C7-EF47-916F-CF62AB88E33C}" xr6:coauthVersionLast="47" xr6:coauthVersionMax="47" xr10:uidLastSave="{00000000-0000-0000-0000-000000000000}"/>
  <bookViews>
    <workbookView xWindow="1140" yWindow="680" windowWidth="29100" windowHeight="18960" tabRatio="500" activeTab="3" xr2:uid="{00000000-000D-0000-FFFF-FFFF00000000}"/>
  </bookViews>
  <sheets>
    <sheet name="Легенда" sheetId="1" r:id="rId1"/>
    <sheet name="Каталог" sheetId="3" r:id="rId2"/>
    <sheet name="Нормативы" sheetId="2" r:id="rId3"/>
    <sheet name="Склад" sheetId="4" r:id="rId4"/>
    <sheet name="Аэропорт" sheetId="5" r:id="rId5"/>
    <sheet name="Медучреждение" sheetId="6" r:id="rId6"/>
    <sheet name="Сравнение" sheetId="7" r:id="rId7"/>
  </sheets>
  <definedNames>
    <definedName name="_xlnm._FilterDatabase" localSheetId="3" hidden="1">Склад!$A$4:$J$59</definedName>
    <definedName name="Aer_aisle">Аэропорт!$D$36</definedName>
    <definedName name="Aer_auto_share">Аэропорт!$D$29</definedName>
    <definedName name="Aer_bag_mass">Аэропорт!$D$12</definedName>
    <definedName name="Aer_bags_day">Аэропорт!$D$11</definedName>
    <definedName name="Aer_base_labor">Аэропорт!$D$50</definedName>
    <definedName name="Aer_budget">Аэропорт!$D$19</definedName>
    <definedName name="Aer_clearance">Аэропорт!$D$37</definedName>
    <definedName name="Aer_consum_per_robot">Аэропорт!$D$58</definedName>
    <definedName name="Aer_divisible">Аэропорт!$D$31</definedName>
    <definedName name="Aer_driver_share">Аэропорт!$D$47</definedName>
    <definedName name="Aer_fleet_per_shift">Аэропорт!$D$54</definedName>
    <definedName name="Aer_fleet_sal">Аэропорт!$D$55</definedName>
    <definedName name="Aer_flights_day">Аэропорт!$D$9</definedName>
    <definedName name="Aer_flights_peak_h">Аэропорт!$D$10</definedName>
    <definedName name="Aer_fte_target">Аэропорт!$D$48</definedName>
    <definedName name="Aer_gates">Аэропорт!$D$8</definedName>
    <definedName name="Aer_handling_req">Аэропорт!$D$40</definedName>
    <definedName name="Aer_horizon">Аэропорт!$D$20</definedName>
    <definedName name="Aer_hours_day">Аэропорт!$D$26</definedName>
    <definedName name="Aer_indoor_req">Аэропорт!$D$41</definedName>
    <definedName name="Aer_integration">Аэропорт!$D$57</definedName>
    <definedName name="Aer_L">Аэропорт!$D$32</definedName>
    <definedName name="Aer_labor_target">Аэропорт!$D$49</definedName>
    <definedName name="Aer_lift_share">Аэропорт!$D$34</definedName>
    <definedName name="Aer_lift_time">Аэропорт!$D$35</definedName>
    <definedName name="Aer_loss_k">Аэропорт!$D$53</definedName>
    <definedName name="Aer_noise">Аэропорт!$D$17</definedName>
    <definedName name="Aer_ops_day">Аэропорт!$D$27</definedName>
    <definedName name="Aer_other_effects">Аэропорт!$D$59</definedName>
    <definedName name="Aer_outdoor_req">Аэропорт!$D$38</definedName>
    <definedName name="Aer_peak_ops_h">Аэропорт!$D$28</definedName>
    <definedName name="Aer_power_kw">Аэропорт!$D$18</definedName>
    <definedName name="Aer_ramp_staff">Аэропорт!$D$13</definedName>
    <definedName name="Aer_repl_body">Аэропорт!$D$45</definedName>
    <definedName name="Aer_repl_forks">Аэропорт!$D$42</definedName>
    <definedName name="Aer_repl_platform">Аэропорт!$D$43</definedName>
    <definedName name="Aer_repl_tow">Аэропорт!$D$44</definedName>
    <definedName name="Aer_S_apron">Аэропорт!$D$7</definedName>
    <definedName name="Aer_S_terminal">Аэропорт!$D$6</definedName>
    <definedName name="Aer_sal_ramp">Аэропорт!$D$14</definedName>
    <definedName name="Aer_sal_target">Аэропорт!$D$51</definedName>
    <definedName name="Aer_shift_h">Аэропорт!$D$25</definedName>
    <definedName name="Aer_shifts">Аэропорт!$D$24</definedName>
    <definedName name="Aer_site_pct">Аэропорт!$D$56</definedName>
    <definedName name="Aer_speed_cap">Аэропорт!$D$33</definedName>
    <definedName name="Aer_task_class">Аэропорт!$D$39</definedName>
    <definedName name="Aer_temp_min">Аэропорт!$D$46</definedName>
    <definedName name="Aer_temp_min_ds">Аэропорт!$D$16</definedName>
    <definedName name="Aer_turnover">Аэропорт!$D$52</definedName>
    <definedName name="Aer_turnover_ds">Аэропорт!$D$15</definedName>
    <definedName name="Aer_unit_mass">Аэропорт!$D$30</definedName>
    <definedName name="Cat_auton">Каталог!$M$4:$M$13</definedName>
    <definedName name="Cat_cap">Каталог!$K$4:$K$13</definedName>
    <definedName name="Cat_charge">Каталог!$N$4:$N$13</definedName>
    <definedName name="Cat_code">Каталог!$A$4:$A$13</definedName>
    <definedName name="Cat_conf">Каталог!$AE$4:$AE$13</definedName>
    <definedName name="Cat_date">Каталог!$AF$4:$AF$13</definedName>
    <definedName name="Cat_handling">Каталог!$AA$4:$AA$13</definedName>
    <definedName name="Cat_hgt">Каталог!$Q$4:$Q$13</definedName>
    <definedName name="Cat_indoor">Каталог!$Z$4:$Z$13</definedName>
    <definedName name="Cat_len">Каталог!$O$4:$O$13</definedName>
    <definedName name="Cat_mp">Каталог!$I$4:$I$13</definedName>
    <definedName name="Cat_name">Каталог!$B$4:$B$13</definedName>
    <definedName name="Cat_nav">Каталог!$AC$4:$AC$13</definedName>
    <definedName name="Cat_note">Каталог!$AG$4:$AG$13</definedName>
    <definedName name="Cat_outdoor">Каталог!$Y$4:$Y$13</definedName>
    <definedName name="Cat_power">Каталог!$T$4:$T$13</definedName>
    <definedName name="Cat_price">Каталог!$J$4:$J$13</definedName>
    <definedName name="Cat_proc">Каталог!$F$4:$F$13</definedName>
    <definedName name="Cat_prod_decl">Каталог!$U$4:$U$13</definedName>
    <definedName name="Cat_repl">Каталог!$X$4:$X$13</definedName>
    <definedName name="Cat_src">Каталог!$AD$4:$AD$13</definedName>
    <definedName name="Cat_status">Каталог!$G$4:$G$13</definedName>
    <definedName name="Cat_subtype">Каталог!$E$4:$E$13</definedName>
    <definedName name="Cat_task">Каталог!$AB$4:$AB$13</definedName>
    <definedName name="Cat_tload">Каталог!$V$4:$V$13</definedName>
    <definedName name="Cat_tmax">Каталог!$S$4:$S$13</definedName>
    <definedName name="Cat_tmin">Каталог!$R$4:$R$13</definedName>
    <definedName name="Cat_tunload">Каталог!$W$4:$W$13</definedName>
    <definedName name="Cat_type">Каталог!$D$4:$D$13</definedName>
    <definedName name="Cat_ugt">Каталог!$H$4:$H$13</definedName>
    <definedName name="Cat_vendor">Каталог!$C$4:$C$13</definedName>
    <definedName name="Cat_vmax">Каталог!$L$4:$L$13</definedName>
    <definedName name="Cat_wid">Каталог!$P$4:$P$13</definedName>
    <definedName name="Med_aisle">Медучреждение!$D$50</definedName>
    <definedName name="Med_auto_share">Медучреждение!$D$43</definedName>
    <definedName name="Med_base_labor">Медучреждение!$D$66</definedName>
    <definedName name="Med_beds">Медучреждение!$D$9</definedName>
    <definedName name="Med_budget">Медучреждение!$D$29</definedName>
    <definedName name="Med_cart_mass">Медучреждение!$D$13</definedName>
    <definedName name="Med_clearance">Медучреждение!$D$51</definedName>
    <definedName name="Med_consum_per_robot">Медучреждение!$D$74</definedName>
    <definedName name="Med_corridor">Медучреждение!$D$26</definedName>
    <definedName name="Med_divisible">Медучреждение!$D$45</definedName>
    <definedName name="Med_feedings">Медучреждение!$D$10</definedName>
    <definedName name="Med_fleet_per_shift">Медучреждение!$D$70</definedName>
    <definedName name="Med_fleet_sal">Медучреждение!$D$71</definedName>
    <definedName name="Med_floors">Медучреждение!$D$7</definedName>
    <definedName name="Med_food_points">Медучреждение!$D$11</definedName>
    <definedName name="Med_fte_target">Медучреждение!$D$64</definedName>
    <definedName name="Med_handling_req">Медучреждение!$D$54</definedName>
    <definedName name="Med_horizon">Медучреждение!$D$30</definedName>
    <definedName name="Med_hours_day">Медучреждение!$D$35</definedName>
    <definedName name="Med_indoor_req">Медучреждение!$D$55</definedName>
    <definedName name="Med_integration">Медучреждение!$D$73</definedName>
    <definedName name="Med_kitchen">Медучреждение!$D$21</definedName>
    <definedName name="Med_L">Медучреждение!$D$46</definedName>
    <definedName name="Med_L_food">Медучреждение!$D$12</definedName>
    <definedName name="Med_labor_target">Медучреждение!$D$65</definedName>
    <definedName name="Med_laundry">Медучреждение!$D$22</definedName>
    <definedName name="Med_lift_share">Медучреждение!$D$48</definedName>
    <definedName name="Med_lift_time">Медучреждение!$D$49</definedName>
    <definedName name="Med_lifts">Медучреждение!$D$8</definedName>
    <definedName name="Med_linen_freq">Медучреждение!$D$15</definedName>
    <definedName name="Med_linen_mass">Медучреждение!$D$16</definedName>
    <definedName name="Med_linen_points">Медучреждение!$D$14</definedName>
    <definedName name="Med_loss_k">Медучреждение!$D$69</definedName>
    <definedName name="Med_noise">Медучреждение!$D$27</definedName>
    <definedName name="Med_ops_day">Медучреждение!$D$41</definedName>
    <definedName name="Med_ops_food">Медучреждение!$D$37</definedName>
    <definedName name="Med_ops_linen">Медучреждение!$D$38</definedName>
    <definedName name="Med_ops_supplies">Медучреждение!$D$40</definedName>
    <definedName name="Med_ops_waste">Медучреждение!$D$39</definedName>
    <definedName name="Med_orderlies">Медучреждение!$D$20</definedName>
    <definedName name="Med_other_effects">Медучреждение!$D$75</definedName>
    <definedName name="Med_outdoor_req">Медучреждение!$D$52</definedName>
    <definedName name="Med_peak_k">Медучреждение!$D$36</definedName>
    <definedName name="Med_peak_ops_h">Медучреждение!$D$42</definedName>
    <definedName name="Med_power_kw">Медучреждение!$D$28</definedName>
    <definedName name="Med_repl_body">Медучреждение!$D$59</definedName>
    <definedName name="Med_repl_forks">Медучреждение!$D$56</definedName>
    <definedName name="Med_repl_platform">Медучреждение!$D$57</definedName>
    <definedName name="Med_repl_tow">Медучреждение!$D$58</definedName>
    <definedName name="Med_S_total">Медучреждение!$D$6</definedName>
    <definedName name="Med_sal_kitchen">Медучреждение!$D$24</definedName>
    <definedName name="Med_sal_orderly">Медучреждение!$D$23</definedName>
    <definedName name="Med_sal_target">Медучреждение!$D$67</definedName>
    <definedName name="Med_share_kitchen">Медучреждение!$D$62</definedName>
    <definedName name="Med_share_laundry">Медучреждение!$D$63</definedName>
    <definedName name="Med_share_orderly">Медучреждение!$D$61</definedName>
    <definedName name="Med_shifts">Медучреждение!$D$34</definedName>
    <definedName name="Med_site_pct">Медучреждение!$D$72</definedName>
    <definedName name="Med_speed_cap">Медучреждение!$D$47</definedName>
    <definedName name="Med_supplies_trips">Медучреждение!$D$17</definedName>
    <definedName name="Med_task_class">Медучреждение!$D$53</definedName>
    <definedName name="Med_temp_min">Медучреждение!$D$60</definedName>
    <definedName name="Med_turnover">Медучреждение!$D$68</definedName>
    <definedName name="Med_turnover_ds">Медучреждение!$D$25</definedName>
    <definedName name="Med_unit_mass">Медучреждение!$D$44</definedName>
    <definedName name="Med_waste_freq">Медучреждение!$D$19</definedName>
    <definedName name="Med_waste_points">Медучреждение!$D$18</definedName>
    <definedName name="N_avail">Нормативы!$D$6</definedName>
    <definedName name="N_battery_life">Нормативы!$D$21</definedName>
    <definedName name="N_battery_share">Нормативы!$D$22</definedName>
    <definedName name="N_capex_reserve">Нормативы!$D$16</definedName>
    <definedName name="N_charger_kw">Нормативы!$D$11</definedName>
    <definedName name="N_charger_price">Нормативы!$D$10</definedName>
    <definedName name="N_charger_ratio">Нормативы!$D$9</definedName>
    <definedName name="N_connect">Нормативы!$D$23</definedName>
    <definedName name="N_delivery_pct">Нормативы!$D$13</definedName>
    <definedName name="N_discount">Нормативы!$D$28</definedName>
    <definedName name="N_energy_price">Нормативы!$D$20</definedName>
    <definedName name="N_fot">Нормативы!$D$4</definedName>
    <definedName name="N_hire_cost">Нормативы!$D$27</definedName>
    <definedName name="N_kv">Нормативы!$D$8</definedName>
    <definedName name="N_license_pct">Нормативы!$D$18</definedName>
    <definedName name="N_life">Нормативы!$D$24</definedName>
    <definedName name="N_loan_rate">Нормативы!$D$30</definedName>
    <definedName name="N_loan_share">Нормативы!$D$29</definedName>
    <definedName name="N_loan_years">Нормативы!$D$31</definedName>
    <definedName name="N_loss_k_default">Нормативы!$D$35</definedName>
    <definedName name="N_pb_good">Нормативы!$D$32</definedName>
    <definedName name="N_pb_mid">Нормативы!$D$33</definedName>
    <definedName name="N_pnr_pct">Нормативы!$D$14</definedName>
    <definedName name="N_raas_pct">Нормативы!$D$25</definedName>
    <definedName name="N_raas_setup">Нормативы!$D$26</definedName>
    <definedName name="N_repair_pct">Нормативы!$D$19</definedName>
    <definedName name="N_reserve">Нормативы!$D$7</definedName>
    <definedName name="N_sens">Нормативы!$D$34</definedName>
    <definedName name="N_service_pct">Нормативы!$D$17</definedName>
    <definedName name="N_sw_pct">Нормативы!$D$12</definedName>
    <definedName name="N_training">Нормативы!$D$15</definedName>
    <definedName name="N_util">Нормативы!$D$5</definedName>
    <definedName name="Skl_aisle">Склад!$D$37</definedName>
    <definedName name="Skl_aisle_main">Склад!$D$8</definedName>
    <definedName name="Skl_aisle_rack">Склад!$D$9</definedName>
    <definedName name="Skl_auto_share">Склад!$D$28</definedName>
    <definedName name="Skl_base_labor">Склад!$D$51</definedName>
    <definedName name="Skl_budget">Склад!$D$22</definedName>
    <definedName name="Skl_clearance">Склад!$D$38</definedName>
    <definedName name="Skl_consum_per_robot">Склад!$D$58</definedName>
    <definedName name="Skl_days">Склад!$D$12</definedName>
    <definedName name="Skl_divisible">Склад!$D$32</definedName>
    <definedName name="Skl_fleet_per_shift">Склад!$D$54</definedName>
    <definedName name="Skl_fleet_sal">Склад!$D$55</definedName>
    <definedName name="Skl_forklift_ops">Склад!$D$16</definedName>
    <definedName name="Skl_fte_target">Склад!$D$48</definedName>
    <definedName name="Skl_func_share">Склад!$D$49</definedName>
    <definedName name="Skl_handling_req">Склад!$D$41</definedName>
    <definedName name="Skl_horizon">Склад!$D$23</definedName>
    <definedName name="Skl_hours_day">Склад!$D$29</definedName>
    <definedName name="Skl_in_pallets">Склад!$D$14</definedName>
    <definedName name="Skl_indoor_req">Склад!$D$42</definedName>
    <definedName name="Skl_integration">Склад!$D$57</definedName>
    <definedName name="Skl_L">Склад!$D$33</definedName>
    <definedName name="Skl_labor_target">Склад!$D$50</definedName>
    <definedName name="Skl_lift_share">Склад!$D$35</definedName>
    <definedName name="Skl_lift_time">Склад!$D$36</definedName>
    <definedName name="Skl_loss_k">Склад!$D$18</definedName>
    <definedName name="Skl_ops_day">Склад!$D$27</definedName>
    <definedName name="Skl_other_effects">Склад!$D$59</definedName>
    <definedName name="Skl_out_pallets">Склад!$D$15</definedName>
    <definedName name="Skl_outdoor_req">Склад!$D$39</definedName>
    <definedName name="Skl_oversize_share">Склад!$D$20</definedName>
    <definedName name="Skl_pallet_mass">Склад!$D$19</definedName>
    <definedName name="Skl_peak_k">Склад!$D$13</definedName>
    <definedName name="Skl_peak_ops_h">Склад!$D$30</definedName>
    <definedName name="Skl_power_kw">Склад!$D$21</definedName>
    <definedName name="Skl_repl_body">Склад!$D$46</definedName>
    <definedName name="Skl_repl_forks">Склад!$D$43</definedName>
    <definedName name="Skl_repl_platform">Склад!$D$44</definedName>
    <definedName name="Skl_repl_tow">Склад!$D$45</definedName>
    <definedName name="Skl_S_active">Склад!$D$7</definedName>
    <definedName name="Skl_S_total">Склад!$D$6</definedName>
    <definedName name="Skl_sal_forklift">Склад!$D$17</definedName>
    <definedName name="Skl_sal_target">Склад!$D$52</definedName>
    <definedName name="Skl_shift_h">Склад!$D$11</definedName>
    <definedName name="Skl_shifts">Склад!$D$10</definedName>
    <definedName name="Skl_site_pct">Склад!$D$56</definedName>
    <definedName name="Skl_speed_cap">Склад!$D$34</definedName>
    <definedName name="Skl_task_class">Склад!$D$40</definedName>
    <definedName name="Skl_temp_min">Склад!$D$47</definedName>
    <definedName name="Skl_turnover">Склад!$D$53</definedName>
    <definedName name="Skl_unit_mass">Склад!$D$31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" i="4" l="1"/>
  <c r="E149" i="4"/>
  <c r="E81" i="4"/>
  <c r="E84" i="4"/>
  <c r="F84" i="4"/>
  <c r="G130" i="4"/>
  <c r="E110" i="4"/>
  <c r="E107" i="4"/>
  <c r="E120" i="4"/>
  <c r="D33" i="4"/>
  <c r="D29" i="4"/>
  <c r="D27" i="4"/>
  <c r="D30" i="4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Y101" i="6"/>
  <c r="Y109" i="6" s="1"/>
  <c r="X101" i="6"/>
  <c r="X109" i="6" s="1"/>
  <c r="W101" i="6"/>
  <c r="W109" i="6" s="1"/>
  <c r="V101" i="6"/>
  <c r="V109" i="6" s="1"/>
  <c r="U101" i="6"/>
  <c r="U109" i="6" s="1"/>
  <c r="T101" i="6"/>
  <c r="T109" i="6" s="1"/>
  <c r="S101" i="6"/>
  <c r="S109" i="6" s="1"/>
  <c r="R101" i="6"/>
  <c r="R109" i="6" s="1"/>
  <c r="Q101" i="6"/>
  <c r="Q109" i="6" s="1"/>
  <c r="P101" i="6"/>
  <c r="P109" i="6" s="1"/>
  <c r="O101" i="6"/>
  <c r="O109" i="6" s="1"/>
  <c r="N101" i="6"/>
  <c r="N109" i="6" s="1"/>
  <c r="M101" i="6"/>
  <c r="M109" i="6" s="1"/>
  <c r="L101" i="6"/>
  <c r="L109" i="6" s="1"/>
  <c r="K101" i="6"/>
  <c r="K109" i="6" s="1"/>
  <c r="J101" i="6"/>
  <c r="J109" i="6" s="1"/>
  <c r="I101" i="6"/>
  <c r="I109" i="6" s="1"/>
  <c r="H101" i="6"/>
  <c r="H109" i="6" s="1"/>
  <c r="G101" i="6"/>
  <c r="G109" i="6" s="1"/>
  <c r="F101" i="6"/>
  <c r="F109" i="6" s="1"/>
  <c r="E101" i="6"/>
  <c r="E109" i="6" s="1"/>
  <c r="Y99" i="6"/>
  <c r="Y105" i="6" s="1"/>
  <c r="X99" i="6"/>
  <c r="X105" i="6" s="1"/>
  <c r="W99" i="6"/>
  <c r="W105" i="6" s="1"/>
  <c r="V99" i="6"/>
  <c r="V105" i="6" s="1"/>
  <c r="U99" i="6"/>
  <c r="U105" i="6" s="1"/>
  <c r="T99" i="6"/>
  <c r="T105" i="6" s="1"/>
  <c r="S99" i="6"/>
  <c r="S105" i="6" s="1"/>
  <c r="R99" i="6"/>
  <c r="R105" i="6" s="1"/>
  <c r="Q99" i="6"/>
  <c r="Q105" i="6" s="1"/>
  <c r="P99" i="6"/>
  <c r="P105" i="6" s="1"/>
  <c r="O99" i="6"/>
  <c r="O105" i="6" s="1"/>
  <c r="N99" i="6"/>
  <c r="N105" i="6" s="1"/>
  <c r="M99" i="6"/>
  <c r="M105" i="6" s="1"/>
  <c r="L99" i="6"/>
  <c r="L105" i="6" s="1"/>
  <c r="K99" i="6"/>
  <c r="K105" i="6" s="1"/>
  <c r="J99" i="6"/>
  <c r="J105" i="6" s="1"/>
  <c r="I99" i="6"/>
  <c r="I105" i="6" s="1"/>
  <c r="H99" i="6"/>
  <c r="H105" i="6" s="1"/>
  <c r="G99" i="6"/>
  <c r="G105" i="6" s="1"/>
  <c r="F99" i="6"/>
  <c r="F105" i="6" s="1"/>
  <c r="E99" i="6"/>
  <c r="E105" i="6" s="1"/>
  <c r="Y98" i="6"/>
  <c r="Y107" i="6" s="1"/>
  <c r="X98" i="6"/>
  <c r="X107" i="6" s="1"/>
  <c r="W98" i="6"/>
  <c r="W107" i="6" s="1"/>
  <c r="V98" i="6"/>
  <c r="V107" i="6" s="1"/>
  <c r="U98" i="6"/>
  <c r="U107" i="6" s="1"/>
  <c r="T98" i="6"/>
  <c r="T107" i="6" s="1"/>
  <c r="S98" i="6"/>
  <c r="S107" i="6" s="1"/>
  <c r="R98" i="6"/>
  <c r="R107" i="6" s="1"/>
  <c r="Q98" i="6"/>
  <c r="Q107" i="6" s="1"/>
  <c r="P98" i="6"/>
  <c r="P107" i="6" s="1"/>
  <c r="O98" i="6"/>
  <c r="O107" i="6" s="1"/>
  <c r="N98" i="6"/>
  <c r="N107" i="6" s="1"/>
  <c r="M98" i="6"/>
  <c r="M107" i="6" s="1"/>
  <c r="L98" i="6"/>
  <c r="L107" i="6" s="1"/>
  <c r="K98" i="6"/>
  <c r="K107" i="6" s="1"/>
  <c r="J98" i="6"/>
  <c r="J107" i="6" s="1"/>
  <c r="I98" i="6"/>
  <c r="I107" i="6" s="1"/>
  <c r="H98" i="6"/>
  <c r="H107" i="6" s="1"/>
  <c r="G98" i="6"/>
  <c r="G107" i="6" s="1"/>
  <c r="F98" i="6"/>
  <c r="F107" i="6" s="1"/>
  <c r="E98" i="6"/>
  <c r="E107" i="6" s="1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Y93" i="6"/>
  <c r="Y123" i="6" s="1"/>
  <c r="X93" i="6"/>
  <c r="X123" i="6" s="1"/>
  <c r="W93" i="6"/>
  <c r="W123" i="6" s="1"/>
  <c r="V93" i="6"/>
  <c r="V123" i="6" s="1"/>
  <c r="U93" i="6"/>
  <c r="U123" i="6" s="1"/>
  <c r="T93" i="6"/>
  <c r="T123" i="6" s="1"/>
  <c r="S93" i="6"/>
  <c r="S123" i="6" s="1"/>
  <c r="R93" i="6"/>
  <c r="R123" i="6" s="1"/>
  <c r="Q93" i="6"/>
  <c r="Q123" i="6" s="1"/>
  <c r="P93" i="6"/>
  <c r="P123" i="6" s="1"/>
  <c r="O93" i="6"/>
  <c r="O123" i="6" s="1"/>
  <c r="N93" i="6"/>
  <c r="N123" i="6" s="1"/>
  <c r="M93" i="6"/>
  <c r="M123" i="6" s="1"/>
  <c r="L93" i="6"/>
  <c r="L123" i="6" s="1"/>
  <c r="K93" i="6"/>
  <c r="K123" i="6" s="1"/>
  <c r="J93" i="6"/>
  <c r="J123" i="6" s="1"/>
  <c r="I93" i="6"/>
  <c r="I123" i="6" s="1"/>
  <c r="H93" i="6"/>
  <c r="H123" i="6" s="1"/>
  <c r="G93" i="6"/>
  <c r="G123" i="6" s="1"/>
  <c r="F93" i="6"/>
  <c r="F123" i="6" s="1"/>
  <c r="E93" i="6"/>
  <c r="E123" i="6" s="1"/>
  <c r="Y92" i="6"/>
  <c r="Y108" i="6" s="1"/>
  <c r="X92" i="6"/>
  <c r="X108" i="6" s="1"/>
  <c r="W92" i="6"/>
  <c r="W108" i="6" s="1"/>
  <c r="V92" i="6"/>
  <c r="V108" i="6" s="1"/>
  <c r="U92" i="6"/>
  <c r="U108" i="6" s="1"/>
  <c r="T92" i="6"/>
  <c r="T108" i="6" s="1"/>
  <c r="S92" i="6"/>
  <c r="S108" i="6" s="1"/>
  <c r="R92" i="6"/>
  <c r="R108" i="6" s="1"/>
  <c r="Q92" i="6"/>
  <c r="Q108" i="6" s="1"/>
  <c r="P92" i="6"/>
  <c r="P108" i="6" s="1"/>
  <c r="O92" i="6"/>
  <c r="O108" i="6" s="1"/>
  <c r="N92" i="6"/>
  <c r="N108" i="6" s="1"/>
  <c r="M92" i="6"/>
  <c r="M108" i="6" s="1"/>
  <c r="L92" i="6"/>
  <c r="L108" i="6" s="1"/>
  <c r="K92" i="6"/>
  <c r="K108" i="6" s="1"/>
  <c r="J92" i="6"/>
  <c r="J108" i="6" s="1"/>
  <c r="I92" i="6"/>
  <c r="I108" i="6" s="1"/>
  <c r="H92" i="6"/>
  <c r="H108" i="6" s="1"/>
  <c r="G92" i="6"/>
  <c r="G108" i="6" s="1"/>
  <c r="F92" i="6"/>
  <c r="F108" i="6" s="1"/>
  <c r="E92" i="6"/>
  <c r="E108" i="6" s="1"/>
  <c r="Y90" i="6"/>
  <c r="Y91" i="6" s="1"/>
  <c r="X90" i="6"/>
  <c r="X91" i="6" s="1"/>
  <c r="W90" i="6"/>
  <c r="W91" i="6" s="1"/>
  <c r="V90" i="6"/>
  <c r="V91" i="6" s="1"/>
  <c r="U90" i="6"/>
  <c r="T90" i="6"/>
  <c r="S90" i="6"/>
  <c r="S91" i="6" s="1"/>
  <c r="R90" i="6"/>
  <c r="R91" i="6" s="1"/>
  <c r="Q90" i="6"/>
  <c r="Q91" i="6" s="1"/>
  <c r="P90" i="6"/>
  <c r="P91" i="6" s="1"/>
  <c r="O90" i="6"/>
  <c r="O91" i="6" s="1"/>
  <c r="N90" i="6"/>
  <c r="M90" i="6"/>
  <c r="L90" i="6"/>
  <c r="L91" i="6" s="1"/>
  <c r="K90" i="6"/>
  <c r="K91" i="6" s="1"/>
  <c r="J90" i="6"/>
  <c r="J91" i="6" s="1"/>
  <c r="I90" i="6"/>
  <c r="I91" i="6" s="1"/>
  <c r="H90" i="6"/>
  <c r="H91" i="6" s="1"/>
  <c r="G90" i="6"/>
  <c r="F90" i="6"/>
  <c r="E90" i="6"/>
  <c r="E91" i="6" s="1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Y83" i="6"/>
  <c r="X83" i="6"/>
  <c r="R83" i="6"/>
  <c r="Q83" i="6"/>
  <c r="K83" i="6"/>
  <c r="J83" i="6"/>
  <c r="W82" i="6"/>
  <c r="V82" i="6"/>
  <c r="P82" i="6"/>
  <c r="O82" i="6"/>
  <c r="I82" i="6"/>
  <c r="H82" i="6"/>
  <c r="U81" i="6"/>
  <c r="T81" i="6"/>
  <c r="N81" i="6"/>
  <c r="M81" i="6"/>
  <c r="G81" i="6"/>
  <c r="F81" i="6"/>
  <c r="D74" i="6"/>
  <c r="D71" i="6"/>
  <c r="D69" i="6"/>
  <c r="D68" i="6"/>
  <c r="D67" i="6"/>
  <c r="D66" i="6"/>
  <c r="D65" i="6"/>
  <c r="D64" i="6"/>
  <c r="D50" i="6"/>
  <c r="D46" i="6"/>
  <c r="D44" i="6"/>
  <c r="D40" i="6"/>
  <c r="D39" i="6"/>
  <c r="D38" i="6"/>
  <c r="D37" i="6"/>
  <c r="D41" i="6" s="1"/>
  <c r="I205" i="5"/>
  <c r="F205" i="5"/>
  <c r="C205" i="5"/>
  <c r="I204" i="5"/>
  <c r="F204" i="5"/>
  <c r="C204" i="5"/>
  <c r="I203" i="5"/>
  <c r="F203" i="5"/>
  <c r="C203" i="5"/>
  <c r="G174" i="5"/>
  <c r="F174" i="5"/>
  <c r="E174" i="5"/>
  <c r="G173" i="5"/>
  <c r="C12" i="7" s="1"/>
  <c r="F173" i="5"/>
  <c r="C11" i="7" s="1"/>
  <c r="E173" i="5"/>
  <c r="C10" i="7" s="1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Y87" i="5"/>
  <c r="Y94" i="5" s="1"/>
  <c r="X87" i="5"/>
  <c r="X94" i="5" s="1"/>
  <c r="W87" i="5"/>
  <c r="W94" i="5" s="1"/>
  <c r="V87" i="5"/>
  <c r="V94" i="5" s="1"/>
  <c r="U87" i="5"/>
  <c r="U94" i="5" s="1"/>
  <c r="T87" i="5"/>
  <c r="T94" i="5" s="1"/>
  <c r="S87" i="5"/>
  <c r="S94" i="5" s="1"/>
  <c r="R87" i="5"/>
  <c r="R94" i="5" s="1"/>
  <c r="Q87" i="5"/>
  <c r="Q94" i="5" s="1"/>
  <c r="P87" i="5"/>
  <c r="P94" i="5" s="1"/>
  <c r="O87" i="5"/>
  <c r="O94" i="5" s="1"/>
  <c r="N87" i="5"/>
  <c r="N94" i="5" s="1"/>
  <c r="M87" i="5"/>
  <c r="M94" i="5" s="1"/>
  <c r="L87" i="5"/>
  <c r="L94" i="5" s="1"/>
  <c r="K87" i="5"/>
  <c r="K94" i="5" s="1"/>
  <c r="J87" i="5"/>
  <c r="J94" i="5" s="1"/>
  <c r="I87" i="5"/>
  <c r="I94" i="5" s="1"/>
  <c r="H87" i="5"/>
  <c r="H94" i="5" s="1"/>
  <c r="G87" i="5"/>
  <c r="G94" i="5" s="1"/>
  <c r="F87" i="5"/>
  <c r="F94" i="5" s="1"/>
  <c r="E87" i="5"/>
  <c r="E94" i="5" s="1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Y85" i="5"/>
  <c r="Y93" i="5" s="1"/>
  <c r="X85" i="5"/>
  <c r="X93" i="5" s="1"/>
  <c r="W85" i="5"/>
  <c r="W93" i="5" s="1"/>
  <c r="V85" i="5"/>
  <c r="V93" i="5" s="1"/>
  <c r="U85" i="5"/>
  <c r="U93" i="5" s="1"/>
  <c r="T85" i="5"/>
  <c r="T93" i="5" s="1"/>
  <c r="S85" i="5"/>
  <c r="S93" i="5" s="1"/>
  <c r="R85" i="5"/>
  <c r="R93" i="5" s="1"/>
  <c r="Q85" i="5"/>
  <c r="Q93" i="5" s="1"/>
  <c r="P85" i="5"/>
  <c r="P93" i="5" s="1"/>
  <c r="O85" i="5"/>
  <c r="O93" i="5" s="1"/>
  <c r="N85" i="5"/>
  <c r="N93" i="5" s="1"/>
  <c r="M85" i="5"/>
  <c r="M93" i="5" s="1"/>
  <c r="L85" i="5"/>
  <c r="L93" i="5" s="1"/>
  <c r="K85" i="5"/>
  <c r="K93" i="5" s="1"/>
  <c r="J85" i="5"/>
  <c r="J93" i="5" s="1"/>
  <c r="I85" i="5"/>
  <c r="I93" i="5" s="1"/>
  <c r="H85" i="5"/>
  <c r="H93" i="5" s="1"/>
  <c r="G85" i="5"/>
  <c r="G93" i="5" s="1"/>
  <c r="F85" i="5"/>
  <c r="F93" i="5" s="1"/>
  <c r="E85" i="5"/>
  <c r="E93" i="5" s="1"/>
  <c r="Y83" i="5"/>
  <c r="Y89" i="5" s="1"/>
  <c r="X83" i="5"/>
  <c r="X89" i="5" s="1"/>
  <c r="W83" i="5"/>
  <c r="W89" i="5" s="1"/>
  <c r="V83" i="5"/>
  <c r="V89" i="5" s="1"/>
  <c r="U83" i="5"/>
  <c r="U89" i="5" s="1"/>
  <c r="T83" i="5"/>
  <c r="T89" i="5" s="1"/>
  <c r="S83" i="5"/>
  <c r="S89" i="5" s="1"/>
  <c r="R83" i="5"/>
  <c r="R89" i="5" s="1"/>
  <c r="Q83" i="5"/>
  <c r="Q89" i="5" s="1"/>
  <c r="P83" i="5"/>
  <c r="P89" i="5" s="1"/>
  <c r="O83" i="5"/>
  <c r="O89" i="5" s="1"/>
  <c r="N83" i="5"/>
  <c r="N89" i="5" s="1"/>
  <c r="M83" i="5"/>
  <c r="M89" i="5" s="1"/>
  <c r="L83" i="5"/>
  <c r="L89" i="5" s="1"/>
  <c r="K83" i="5"/>
  <c r="K89" i="5" s="1"/>
  <c r="J83" i="5"/>
  <c r="J89" i="5" s="1"/>
  <c r="I83" i="5"/>
  <c r="I89" i="5" s="1"/>
  <c r="H83" i="5"/>
  <c r="H89" i="5" s="1"/>
  <c r="G83" i="5"/>
  <c r="G89" i="5" s="1"/>
  <c r="F83" i="5"/>
  <c r="F89" i="5" s="1"/>
  <c r="E83" i="5"/>
  <c r="E89" i="5" s="1"/>
  <c r="Y82" i="5"/>
  <c r="Y91" i="5" s="1"/>
  <c r="X82" i="5"/>
  <c r="X91" i="5" s="1"/>
  <c r="W82" i="5"/>
  <c r="W91" i="5" s="1"/>
  <c r="V82" i="5"/>
  <c r="V91" i="5" s="1"/>
  <c r="U82" i="5"/>
  <c r="U91" i="5" s="1"/>
  <c r="T82" i="5"/>
  <c r="T91" i="5" s="1"/>
  <c r="S82" i="5"/>
  <c r="S91" i="5" s="1"/>
  <c r="R82" i="5"/>
  <c r="R91" i="5" s="1"/>
  <c r="Q82" i="5"/>
  <c r="Q91" i="5" s="1"/>
  <c r="P82" i="5"/>
  <c r="P91" i="5" s="1"/>
  <c r="O82" i="5"/>
  <c r="O91" i="5" s="1"/>
  <c r="N82" i="5"/>
  <c r="N91" i="5" s="1"/>
  <c r="M82" i="5"/>
  <c r="M91" i="5" s="1"/>
  <c r="L82" i="5"/>
  <c r="L91" i="5" s="1"/>
  <c r="K82" i="5"/>
  <c r="K91" i="5" s="1"/>
  <c r="J82" i="5"/>
  <c r="J91" i="5" s="1"/>
  <c r="I82" i="5"/>
  <c r="I91" i="5" s="1"/>
  <c r="H82" i="5"/>
  <c r="H91" i="5" s="1"/>
  <c r="G82" i="5"/>
  <c r="G91" i="5" s="1"/>
  <c r="F82" i="5"/>
  <c r="F91" i="5" s="1"/>
  <c r="E82" i="5"/>
  <c r="E91" i="5" s="1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Y77" i="5"/>
  <c r="Y107" i="5" s="1"/>
  <c r="X77" i="5"/>
  <c r="X107" i="5" s="1"/>
  <c r="W77" i="5"/>
  <c r="W107" i="5" s="1"/>
  <c r="V77" i="5"/>
  <c r="V107" i="5" s="1"/>
  <c r="U77" i="5"/>
  <c r="U107" i="5" s="1"/>
  <c r="T77" i="5"/>
  <c r="T107" i="5" s="1"/>
  <c r="S77" i="5"/>
  <c r="S107" i="5" s="1"/>
  <c r="R77" i="5"/>
  <c r="R107" i="5" s="1"/>
  <c r="Q77" i="5"/>
  <c r="Q107" i="5" s="1"/>
  <c r="P77" i="5"/>
  <c r="P107" i="5" s="1"/>
  <c r="O77" i="5"/>
  <c r="O107" i="5" s="1"/>
  <c r="N77" i="5"/>
  <c r="N107" i="5" s="1"/>
  <c r="M77" i="5"/>
  <c r="M107" i="5" s="1"/>
  <c r="L77" i="5"/>
  <c r="L107" i="5" s="1"/>
  <c r="K77" i="5"/>
  <c r="K107" i="5" s="1"/>
  <c r="J77" i="5"/>
  <c r="J107" i="5" s="1"/>
  <c r="I77" i="5"/>
  <c r="I107" i="5" s="1"/>
  <c r="H77" i="5"/>
  <c r="H107" i="5" s="1"/>
  <c r="G77" i="5"/>
  <c r="G107" i="5" s="1"/>
  <c r="F77" i="5"/>
  <c r="F107" i="5" s="1"/>
  <c r="E77" i="5"/>
  <c r="E107" i="5" s="1"/>
  <c r="Y76" i="5"/>
  <c r="Y92" i="5" s="1"/>
  <c r="X76" i="5"/>
  <c r="X92" i="5" s="1"/>
  <c r="W76" i="5"/>
  <c r="W92" i="5" s="1"/>
  <c r="V76" i="5"/>
  <c r="V92" i="5" s="1"/>
  <c r="U76" i="5"/>
  <c r="U92" i="5" s="1"/>
  <c r="T76" i="5"/>
  <c r="T92" i="5" s="1"/>
  <c r="S76" i="5"/>
  <c r="S92" i="5" s="1"/>
  <c r="R76" i="5"/>
  <c r="R92" i="5" s="1"/>
  <c r="Q76" i="5"/>
  <c r="Q92" i="5" s="1"/>
  <c r="P76" i="5"/>
  <c r="P92" i="5" s="1"/>
  <c r="O76" i="5"/>
  <c r="O92" i="5" s="1"/>
  <c r="N76" i="5"/>
  <c r="N92" i="5" s="1"/>
  <c r="M76" i="5"/>
  <c r="M92" i="5" s="1"/>
  <c r="L76" i="5"/>
  <c r="L92" i="5" s="1"/>
  <c r="K76" i="5"/>
  <c r="K92" i="5" s="1"/>
  <c r="J76" i="5"/>
  <c r="J92" i="5" s="1"/>
  <c r="I76" i="5"/>
  <c r="I92" i="5" s="1"/>
  <c r="H76" i="5"/>
  <c r="H92" i="5" s="1"/>
  <c r="G76" i="5"/>
  <c r="G92" i="5" s="1"/>
  <c r="F76" i="5"/>
  <c r="F92" i="5" s="1"/>
  <c r="E76" i="5"/>
  <c r="E92" i="5" s="1"/>
  <c r="Y74" i="5"/>
  <c r="Y75" i="5" s="1"/>
  <c r="X74" i="5"/>
  <c r="X75" i="5" s="1"/>
  <c r="W74" i="5"/>
  <c r="W75" i="5" s="1"/>
  <c r="V74" i="5"/>
  <c r="V75" i="5" s="1"/>
  <c r="U74" i="5"/>
  <c r="T74" i="5"/>
  <c r="S74" i="5"/>
  <c r="S75" i="5" s="1"/>
  <c r="R74" i="5"/>
  <c r="R75" i="5" s="1"/>
  <c r="Q74" i="5"/>
  <c r="Q75" i="5" s="1"/>
  <c r="P74" i="5"/>
  <c r="P75" i="5" s="1"/>
  <c r="O74" i="5"/>
  <c r="O75" i="5" s="1"/>
  <c r="N74" i="5"/>
  <c r="M74" i="5"/>
  <c r="L74" i="5"/>
  <c r="L75" i="5" s="1"/>
  <c r="K74" i="5"/>
  <c r="K75" i="5" s="1"/>
  <c r="J74" i="5"/>
  <c r="J75" i="5" s="1"/>
  <c r="I74" i="5"/>
  <c r="I75" i="5" s="1"/>
  <c r="H74" i="5"/>
  <c r="H75" i="5" s="1"/>
  <c r="G74" i="5"/>
  <c r="F74" i="5"/>
  <c r="E74" i="5"/>
  <c r="E75" i="5" s="1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Y67" i="5"/>
  <c r="X67" i="5"/>
  <c r="R67" i="5"/>
  <c r="Q67" i="5"/>
  <c r="K67" i="5"/>
  <c r="J67" i="5"/>
  <c r="W66" i="5"/>
  <c r="V66" i="5"/>
  <c r="P66" i="5"/>
  <c r="O66" i="5"/>
  <c r="I66" i="5"/>
  <c r="H66" i="5"/>
  <c r="U65" i="5"/>
  <c r="T65" i="5"/>
  <c r="N65" i="5"/>
  <c r="M65" i="5"/>
  <c r="G65" i="5"/>
  <c r="F65" i="5"/>
  <c r="D55" i="5"/>
  <c r="D53" i="5"/>
  <c r="D52" i="5"/>
  <c r="D51" i="5"/>
  <c r="D50" i="5"/>
  <c r="D48" i="5"/>
  <c r="D46" i="5"/>
  <c r="D32" i="5"/>
  <c r="D30" i="5"/>
  <c r="D28" i="5"/>
  <c r="D27" i="5"/>
  <c r="D26" i="5"/>
  <c r="I205" i="4"/>
  <c r="F205" i="4"/>
  <c r="C205" i="4"/>
  <c r="I204" i="4"/>
  <c r="F204" i="4"/>
  <c r="C204" i="4"/>
  <c r="I203" i="4"/>
  <c r="F203" i="4"/>
  <c r="C203" i="4"/>
  <c r="I202" i="4"/>
  <c r="F202" i="4"/>
  <c r="C202" i="4"/>
  <c r="I201" i="4"/>
  <c r="F201" i="4"/>
  <c r="C201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Y85" i="4"/>
  <c r="Y93" i="4" s="1"/>
  <c r="X85" i="4"/>
  <c r="X93" i="4" s="1"/>
  <c r="W85" i="4"/>
  <c r="W93" i="4" s="1"/>
  <c r="V85" i="4"/>
  <c r="V93" i="4" s="1"/>
  <c r="U85" i="4"/>
  <c r="U93" i="4" s="1"/>
  <c r="T85" i="4"/>
  <c r="T93" i="4" s="1"/>
  <c r="S85" i="4"/>
  <c r="S93" i="4" s="1"/>
  <c r="R85" i="4"/>
  <c r="R93" i="4" s="1"/>
  <c r="Q85" i="4"/>
  <c r="Q93" i="4" s="1"/>
  <c r="P85" i="4"/>
  <c r="P93" i="4" s="1"/>
  <c r="O85" i="4"/>
  <c r="O93" i="4" s="1"/>
  <c r="N85" i="4"/>
  <c r="N93" i="4" s="1"/>
  <c r="M85" i="4"/>
  <c r="M93" i="4" s="1"/>
  <c r="L85" i="4"/>
  <c r="L93" i="4" s="1"/>
  <c r="K85" i="4"/>
  <c r="K93" i="4" s="1"/>
  <c r="J85" i="4"/>
  <c r="J93" i="4" s="1"/>
  <c r="I85" i="4"/>
  <c r="I93" i="4" s="1"/>
  <c r="H85" i="4"/>
  <c r="H93" i="4" s="1"/>
  <c r="G85" i="4"/>
  <c r="G93" i="4" s="1"/>
  <c r="F85" i="4"/>
  <c r="F93" i="4" s="1"/>
  <c r="E85" i="4"/>
  <c r="E93" i="4" s="1"/>
  <c r="Y83" i="4"/>
  <c r="Y89" i="4" s="1"/>
  <c r="X83" i="4"/>
  <c r="X89" i="4" s="1"/>
  <c r="W83" i="4"/>
  <c r="W89" i="4" s="1"/>
  <c r="V83" i="4"/>
  <c r="V89" i="4" s="1"/>
  <c r="U83" i="4"/>
  <c r="U89" i="4" s="1"/>
  <c r="T83" i="4"/>
  <c r="T89" i="4" s="1"/>
  <c r="S83" i="4"/>
  <c r="S89" i="4" s="1"/>
  <c r="R83" i="4"/>
  <c r="R89" i="4" s="1"/>
  <c r="Q83" i="4"/>
  <c r="Q89" i="4" s="1"/>
  <c r="P83" i="4"/>
  <c r="P89" i="4" s="1"/>
  <c r="O83" i="4"/>
  <c r="O89" i="4" s="1"/>
  <c r="N83" i="4"/>
  <c r="N89" i="4" s="1"/>
  <c r="M83" i="4"/>
  <c r="M89" i="4" s="1"/>
  <c r="L83" i="4"/>
  <c r="L89" i="4" s="1"/>
  <c r="K83" i="4"/>
  <c r="K89" i="4" s="1"/>
  <c r="J83" i="4"/>
  <c r="J89" i="4" s="1"/>
  <c r="I83" i="4"/>
  <c r="I89" i="4" s="1"/>
  <c r="H83" i="4"/>
  <c r="H89" i="4" s="1"/>
  <c r="G83" i="4"/>
  <c r="G89" i="4" s="1"/>
  <c r="F83" i="4"/>
  <c r="F89" i="4" s="1"/>
  <c r="E83" i="4"/>
  <c r="E89" i="4" s="1"/>
  <c r="Y82" i="4"/>
  <c r="Y91" i="4" s="1"/>
  <c r="X82" i="4"/>
  <c r="X91" i="4" s="1"/>
  <c r="W82" i="4"/>
  <c r="W91" i="4" s="1"/>
  <c r="V82" i="4"/>
  <c r="V91" i="4" s="1"/>
  <c r="U82" i="4"/>
  <c r="U91" i="4" s="1"/>
  <c r="T82" i="4"/>
  <c r="T91" i="4" s="1"/>
  <c r="S82" i="4"/>
  <c r="S91" i="4" s="1"/>
  <c r="R82" i="4"/>
  <c r="R91" i="4" s="1"/>
  <c r="Q82" i="4"/>
  <c r="Q91" i="4" s="1"/>
  <c r="P82" i="4"/>
  <c r="P91" i="4" s="1"/>
  <c r="O82" i="4"/>
  <c r="O91" i="4" s="1"/>
  <c r="N82" i="4"/>
  <c r="N91" i="4" s="1"/>
  <c r="M82" i="4"/>
  <c r="M91" i="4" s="1"/>
  <c r="L82" i="4"/>
  <c r="L91" i="4" s="1"/>
  <c r="K82" i="4"/>
  <c r="K91" i="4" s="1"/>
  <c r="J82" i="4"/>
  <c r="J91" i="4" s="1"/>
  <c r="I82" i="4"/>
  <c r="I91" i="4" s="1"/>
  <c r="H82" i="4"/>
  <c r="H91" i="4" s="1"/>
  <c r="G82" i="4"/>
  <c r="G91" i="4" s="1"/>
  <c r="F82" i="4"/>
  <c r="F91" i="4" s="1"/>
  <c r="E82" i="4"/>
  <c r="E91" i="4" s="1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Y77" i="4"/>
  <c r="Y107" i="4" s="1"/>
  <c r="X77" i="4"/>
  <c r="X107" i="4" s="1"/>
  <c r="W77" i="4"/>
  <c r="W107" i="4" s="1"/>
  <c r="V77" i="4"/>
  <c r="V107" i="4" s="1"/>
  <c r="U77" i="4"/>
  <c r="U107" i="4" s="1"/>
  <c r="T77" i="4"/>
  <c r="T107" i="4" s="1"/>
  <c r="S77" i="4"/>
  <c r="S107" i="4" s="1"/>
  <c r="R77" i="4"/>
  <c r="R107" i="4" s="1"/>
  <c r="Q77" i="4"/>
  <c r="Q107" i="4" s="1"/>
  <c r="P77" i="4"/>
  <c r="P107" i="4" s="1"/>
  <c r="O77" i="4"/>
  <c r="O107" i="4" s="1"/>
  <c r="N77" i="4"/>
  <c r="N107" i="4" s="1"/>
  <c r="M77" i="4"/>
  <c r="M107" i="4" s="1"/>
  <c r="L77" i="4"/>
  <c r="L107" i="4" s="1"/>
  <c r="K77" i="4"/>
  <c r="K107" i="4" s="1"/>
  <c r="J77" i="4"/>
  <c r="J107" i="4" s="1"/>
  <c r="I77" i="4"/>
  <c r="I107" i="4" s="1"/>
  <c r="H77" i="4"/>
  <c r="H107" i="4" s="1"/>
  <c r="G77" i="4"/>
  <c r="G107" i="4" s="1"/>
  <c r="F77" i="4"/>
  <c r="F107" i="4" s="1"/>
  <c r="E77" i="4"/>
  <c r="Y76" i="4"/>
  <c r="Y92" i="4" s="1"/>
  <c r="X76" i="4"/>
  <c r="X92" i="4" s="1"/>
  <c r="W76" i="4"/>
  <c r="W92" i="4" s="1"/>
  <c r="V76" i="4"/>
  <c r="V92" i="4" s="1"/>
  <c r="U76" i="4"/>
  <c r="U92" i="4" s="1"/>
  <c r="T76" i="4"/>
  <c r="T92" i="4" s="1"/>
  <c r="S76" i="4"/>
  <c r="S92" i="4" s="1"/>
  <c r="R76" i="4"/>
  <c r="R92" i="4" s="1"/>
  <c r="Q76" i="4"/>
  <c r="Q92" i="4" s="1"/>
  <c r="P76" i="4"/>
  <c r="P92" i="4" s="1"/>
  <c r="O76" i="4"/>
  <c r="O92" i="4" s="1"/>
  <c r="N76" i="4"/>
  <c r="N92" i="4" s="1"/>
  <c r="M76" i="4"/>
  <c r="M92" i="4" s="1"/>
  <c r="L76" i="4"/>
  <c r="L92" i="4" s="1"/>
  <c r="K76" i="4"/>
  <c r="K92" i="4" s="1"/>
  <c r="J76" i="4"/>
  <c r="J92" i="4" s="1"/>
  <c r="I76" i="4"/>
  <c r="I92" i="4" s="1"/>
  <c r="H76" i="4"/>
  <c r="H92" i="4" s="1"/>
  <c r="G76" i="4"/>
  <c r="G92" i="4" s="1"/>
  <c r="F76" i="4"/>
  <c r="F92" i="4" s="1"/>
  <c r="E76" i="4"/>
  <c r="E92" i="4" s="1"/>
  <c r="Y74" i="4"/>
  <c r="Y75" i="4" s="1"/>
  <c r="X74" i="4"/>
  <c r="X75" i="4" s="1"/>
  <c r="W74" i="4"/>
  <c r="W75" i="4" s="1"/>
  <c r="V74" i="4"/>
  <c r="V75" i="4" s="1"/>
  <c r="U74" i="4"/>
  <c r="T74" i="4"/>
  <c r="S74" i="4"/>
  <c r="S75" i="4" s="1"/>
  <c r="R74" i="4"/>
  <c r="R75" i="4" s="1"/>
  <c r="Q74" i="4"/>
  <c r="Q75" i="4" s="1"/>
  <c r="P74" i="4"/>
  <c r="P75" i="4" s="1"/>
  <c r="O74" i="4"/>
  <c r="O75" i="4" s="1"/>
  <c r="N74" i="4"/>
  <c r="M74" i="4"/>
  <c r="L74" i="4"/>
  <c r="L75" i="4" s="1"/>
  <c r="K74" i="4"/>
  <c r="K75" i="4" s="1"/>
  <c r="J74" i="4"/>
  <c r="J75" i="4" s="1"/>
  <c r="I74" i="4"/>
  <c r="I75" i="4" s="1"/>
  <c r="H74" i="4"/>
  <c r="H75" i="4" s="1"/>
  <c r="G74" i="4"/>
  <c r="F74" i="4"/>
  <c r="E74" i="4"/>
  <c r="E75" i="4" s="1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Y67" i="4"/>
  <c r="X67" i="4"/>
  <c r="R67" i="4"/>
  <c r="Q67" i="4"/>
  <c r="K67" i="4"/>
  <c r="J67" i="4"/>
  <c r="W66" i="4"/>
  <c r="V66" i="4"/>
  <c r="P66" i="4"/>
  <c r="O66" i="4"/>
  <c r="I66" i="4"/>
  <c r="H66" i="4"/>
  <c r="U65" i="4"/>
  <c r="T65" i="4"/>
  <c r="N65" i="4"/>
  <c r="M65" i="4"/>
  <c r="G65" i="4"/>
  <c r="F65" i="4"/>
  <c r="D55" i="4"/>
  <c r="D52" i="4"/>
  <c r="D51" i="4"/>
  <c r="D37" i="4"/>
  <c r="D31" i="4"/>
  <c r="D48" i="4"/>
  <c r="T91" i="6" l="1"/>
  <c r="G91" i="6"/>
  <c r="T75" i="5"/>
  <c r="G75" i="5"/>
  <c r="F75" i="5"/>
  <c r="N75" i="4"/>
  <c r="G75" i="4"/>
  <c r="U91" i="6"/>
  <c r="N91" i="6"/>
  <c r="M91" i="6"/>
  <c r="F91" i="6"/>
  <c r="U75" i="5"/>
  <c r="M75" i="5"/>
  <c r="T75" i="4"/>
  <c r="F75" i="4"/>
  <c r="N75" i="5"/>
  <c r="U75" i="4"/>
  <c r="M75" i="4"/>
  <c r="I221" i="6"/>
  <c r="I220" i="6"/>
  <c r="I219" i="6"/>
  <c r="F221" i="6"/>
  <c r="F220" i="6"/>
  <c r="F219" i="6"/>
  <c r="C219" i="6"/>
  <c r="C220" i="6"/>
  <c r="C221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Y106" i="6"/>
  <c r="Y111" i="6" s="1"/>
  <c r="Y100" i="6"/>
  <c r="X106" i="6"/>
  <c r="X111" i="6" s="1"/>
  <c r="X100" i="6"/>
  <c r="W106" i="6"/>
  <c r="W111" i="6" s="1"/>
  <c r="W100" i="6"/>
  <c r="V100" i="6"/>
  <c r="V106" i="6"/>
  <c r="V111" i="6" s="1"/>
  <c r="U106" i="6"/>
  <c r="U111" i="6" s="1"/>
  <c r="U100" i="6"/>
  <c r="T106" i="6"/>
  <c r="T111" i="6" s="1"/>
  <c r="T100" i="6"/>
  <c r="S106" i="6"/>
  <c r="S111" i="6" s="1"/>
  <c r="S100" i="6"/>
  <c r="R106" i="6"/>
  <c r="R111" i="6" s="1"/>
  <c r="R100" i="6"/>
  <c r="Q106" i="6"/>
  <c r="Q111" i="6" s="1"/>
  <c r="Q100" i="6"/>
  <c r="P106" i="6"/>
  <c r="P111" i="6" s="1"/>
  <c r="P100" i="6"/>
  <c r="O106" i="6"/>
  <c r="O111" i="6" s="1"/>
  <c r="O100" i="6"/>
  <c r="N106" i="6"/>
  <c r="N111" i="6" s="1"/>
  <c r="N100" i="6"/>
  <c r="M100" i="6"/>
  <c r="M106" i="6"/>
  <c r="M111" i="6" s="1"/>
  <c r="L100" i="6"/>
  <c r="L106" i="6"/>
  <c r="L111" i="6" s="1"/>
  <c r="K100" i="6"/>
  <c r="K106" i="6"/>
  <c r="K111" i="6" s="1"/>
  <c r="J106" i="6"/>
  <c r="J111" i="6" s="1"/>
  <c r="J100" i="6"/>
  <c r="I100" i="6"/>
  <c r="I106" i="6"/>
  <c r="I111" i="6" s="1"/>
  <c r="H106" i="6"/>
  <c r="H111" i="6" s="1"/>
  <c r="H100" i="6"/>
  <c r="G106" i="6"/>
  <c r="G111" i="6" s="1"/>
  <c r="G100" i="6"/>
  <c r="F106" i="6"/>
  <c r="F111" i="6" s="1"/>
  <c r="F100" i="6"/>
  <c r="E106" i="6"/>
  <c r="E111" i="6" s="1"/>
  <c r="E100" i="6"/>
  <c r="G190" i="6"/>
  <c r="F190" i="6"/>
  <c r="E190" i="6"/>
  <c r="G189" i="6"/>
  <c r="C17" i="7" s="1"/>
  <c r="F189" i="6"/>
  <c r="C16" i="7" s="1"/>
  <c r="E189" i="6"/>
  <c r="C15" i="7" s="1"/>
  <c r="E136" i="6"/>
  <c r="F136" i="6"/>
  <c r="H136" i="6"/>
  <c r="J136" i="6"/>
  <c r="M136" i="6"/>
  <c r="O136" i="6"/>
  <c r="Y136" i="6"/>
  <c r="P136" i="6"/>
  <c r="X136" i="6"/>
  <c r="W136" i="6"/>
  <c r="V136" i="6"/>
  <c r="U136" i="6"/>
  <c r="T136" i="6"/>
  <c r="S136" i="6"/>
  <c r="R136" i="6"/>
  <c r="Q136" i="6"/>
  <c r="N136" i="6"/>
  <c r="L136" i="6"/>
  <c r="K136" i="6"/>
  <c r="I136" i="6"/>
  <c r="G136" i="6"/>
  <c r="F122" i="6"/>
  <c r="F124" i="6" s="1"/>
  <c r="F126" i="6" s="1"/>
  <c r="F127" i="6" s="1"/>
  <c r="F128" i="6" s="1"/>
  <c r="M122" i="6"/>
  <c r="M124" i="6" s="1"/>
  <c r="M126" i="6" s="1"/>
  <c r="M127" i="6" s="1"/>
  <c r="M128" i="6" s="1"/>
  <c r="N122" i="6"/>
  <c r="N124" i="6" s="1"/>
  <c r="N126" i="6" s="1"/>
  <c r="N127" i="6" s="1"/>
  <c r="N128" i="6" s="1"/>
  <c r="O122" i="6"/>
  <c r="O124" i="6" s="1"/>
  <c r="O126" i="6" s="1"/>
  <c r="O127" i="6" s="1"/>
  <c r="O128" i="6" s="1"/>
  <c r="P122" i="6"/>
  <c r="P124" i="6" s="1"/>
  <c r="P126" i="6" s="1"/>
  <c r="P127" i="6" s="1"/>
  <c r="P128" i="6" s="1"/>
  <c r="Q122" i="6"/>
  <c r="Q124" i="6" s="1"/>
  <c r="Q126" i="6" s="1"/>
  <c r="Q127" i="6" s="1"/>
  <c r="Q128" i="6" s="1"/>
  <c r="R122" i="6"/>
  <c r="R124" i="6" s="1"/>
  <c r="R126" i="6" s="1"/>
  <c r="R127" i="6" s="1"/>
  <c r="R128" i="6" s="1"/>
  <c r="S122" i="6"/>
  <c r="S124" i="6" s="1"/>
  <c r="S126" i="6" s="1"/>
  <c r="S127" i="6" s="1"/>
  <c r="S128" i="6" s="1"/>
  <c r="T122" i="6"/>
  <c r="T124" i="6" s="1"/>
  <c r="T126" i="6" s="1"/>
  <c r="T127" i="6" s="1"/>
  <c r="T128" i="6" s="1"/>
  <c r="U122" i="6"/>
  <c r="U124" i="6" s="1"/>
  <c r="U126" i="6" s="1"/>
  <c r="U127" i="6" s="1"/>
  <c r="U128" i="6" s="1"/>
  <c r="V122" i="6"/>
  <c r="V124" i="6" s="1"/>
  <c r="V126" i="6" s="1"/>
  <c r="V127" i="6" s="1"/>
  <c r="V128" i="6" s="1"/>
  <c r="W122" i="6"/>
  <c r="W124" i="6" s="1"/>
  <c r="W126" i="6" s="1"/>
  <c r="W127" i="6" s="1"/>
  <c r="W128" i="6" s="1"/>
  <c r="X122" i="6"/>
  <c r="X124" i="6" s="1"/>
  <c r="X126" i="6" s="1"/>
  <c r="X127" i="6" s="1"/>
  <c r="X128" i="6" s="1"/>
  <c r="Y122" i="6"/>
  <c r="Y124" i="6" s="1"/>
  <c r="Y126" i="6" s="1"/>
  <c r="Y127" i="6" s="1"/>
  <c r="Y128" i="6" s="1"/>
  <c r="K122" i="6"/>
  <c r="K124" i="6" s="1"/>
  <c r="K126" i="6" s="1"/>
  <c r="K127" i="6" s="1"/>
  <c r="K128" i="6" s="1"/>
  <c r="J122" i="6"/>
  <c r="J124" i="6" s="1"/>
  <c r="J126" i="6" s="1"/>
  <c r="J127" i="6" s="1"/>
  <c r="J128" i="6" s="1"/>
  <c r="I122" i="6"/>
  <c r="I124" i="6" s="1"/>
  <c r="I126" i="6" s="1"/>
  <c r="I127" i="6" s="1"/>
  <c r="I128" i="6" s="1"/>
  <c r="H122" i="6"/>
  <c r="H124" i="6" s="1"/>
  <c r="H126" i="6" s="1"/>
  <c r="H127" i="6" s="1"/>
  <c r="H128" i="6" s="1"/>
  <c r="G122" i="6"/>
  <c r="G124" i="6" s="1"/>
  <c r="G126" i="6" s="1"/>
  <c r="G127" i="6" s="1"/>
  <c r="G128" i="6" s="1"/>
  <c r="E122" i="6"/>
  <c r="E124" i="6" s="1"/>
  <c r="E126" i="6" s="1"/>
  <c r="E127" i="6" s="1"/>
  <c r="E128" i="6" s="1"/>
  <c r="L122" i="6"/>
  <c r="L124" i="6" s="1"/>
  <c r="L126" i="6" s="1"/>
  <c r="L127" i="6" s="1"/>
  <c r="L128" i="6" s="1"/>
  <c r="J114" i="6"/>
  <c r="J115" i="6" s="1"/>
  <c r="J118" i="6" s="1"/>
  <c r="K114" i="6"/>
  <c r="K115" i="6" s="1"/>
  <c r="K118" i="6" s="1"/>
  <c r="M114" i="6"/>
  <c r="M115" i="6" s="1"/>
  <c r="M118" i="6" s="1"/>
  <c r="P114" i="6"/>
  <c r="P115" i="6" s="1"/>
  <c r="P118" i="6" s="1"/>
  <c r="R114" i="6"/>
  <c r="R115" i="6" s="1"/>
  <c r="R118" i="6" s="1"/>
  <c r="U114" i="6"/>
  <c r="U115" i="6" s="1"/>
  <c r="U118" i="6" s="1"/>
  <c r="X114" i="6"/>
  <c r="X115" i="6" s="1"/>
  <c r="X118" i="6" s="1"/>
  <c r="D42" i="6"/>
  <c r="F114" i="6"/>
  <c r="F115" i="6" s="1"/>
  <c r="F118" i="6" s="1"/>
  <c r="H114" i="6"/>
  <c r="H115" i="6" s="1"/>
  <c r="H118" i="6" s="1"/>
  <c r="N114" i="6"/>
  <c r="N115" i="6" s="1"/>
  <c r="N118" i="6" s="1"/>
  <c r="Q114" i="6"/>
  <c r="Q115" i="6" s="1"/>
  <c r="Q118" i="6" s="1"/>
  <c r="T114" i="6"/>
  <c r="T115" i="6" s="1"/>
  <c r="T118" i="6" s="1"/>
  <c r="W114" i="6"/>
  <c r="W115" i="6" s="1"/>
  <c r="W118" i="6" s="1"/>
  <c r="E114" i="6"/>
  <c r="E115" i="6" s="1"/>
  <c r="E118" i="6" s="1"/>
  <c r="G114" i="6"/>
  <c r="G115" i="6" s="1"/>
  <c r="G118" i="6" s="1"/>
  <c r="I114" i="6"/>
  <c r="I115" i="6" s="1"/>
  <c r="I118" i="6" s="1"/>
  <c r="L114" i="6"/>
  <c r="L115" i="6" s="1"/>
  <c r="L118" i="6" s="1"/>
  <c r="O114" i="6"/>
  <c r="O115" i="6" s="1"/>
  <c r="O118" i="6" s="1"/>
  <c r="S114" i="6"/>
  <c r="S115" i="6" s="1"/>
  <c r="S118" i="6" s="1"/>
  <c r="V114" i="6"/>
  <c r="V115" i="6" s="1"/>
  <c r="V118" i="6" s="1"/>
  <c r="Y114" i="6"/>
  <c r="Y115" i="6" s="1"/>
  <c r="Y118" i="6" s="1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Y84" i="5"/>
  <c r="Y148" i="5" s="1"/>
  <c r="Y153" i="5" s="1"/>
  <c r="Y90" i="5"/>
  <c r="Y95" i="5" s="1"/>
  <c r="X90" i="5"/>
  <c r="X95" i="5" s="1"/>
  <c r="X84" i="5"/>
  <c r="X148" i="5" s="1"/>
  <c r="X153" i="5" s="1"/>
  <c r="W84" i="5"/>
  <c r="W148" i="5" s="1"/>
  <c r="W153" i="5" s="1"/>
  <c r="W90" i="5"/>
  <c r="W95" i="5" s="1"/>
  <c r="V90" i="5"/>
  <c r="V95" i="5" s="1"/>
  <c r="V84" i="5"/>
  <c r="V148" i="5" s="1"/>
  <c r="V153" i="5" s="1"/>
  <c r="U84" i="5"/>
  <c r="U148" i="5" s="1"/>
  <c r="U153" i="5" s="1"/>
  <c r="U90" i="5"/>
  <c r="U95" i="5" s="1"/>
  <c r="T90" i="5"/>
  <c r="T95" i="5" s="1"/>
  <c r="T84" i="5"/>
  <c r="T148" i="5" s="1"/>
  <c r="T153" i="5" s="1"/>
  <c r="S90" i="5"/>
  <c r="S95" i="5" s="1"/>
  <c r="S84" i="5"/>
  <c r="S148" i="5" s="1"/>
  <c r="R84" i="5"/>
  <c r="R148" i="5" s="1"/>
  <c r="R153" i="5" s="1"/>
  <c r="R90" i="5"/>
  <c r="R95" i="5" s="1"/>
  <c r="Q90" i="5"/>
  <c r="Q95" i="5" s="1"/>
  <c r="Q84" i="5"/>
  <c r="Q148" i="5" s="1"/>
  <c r="Q153" i="5" s="1"/>
  <c r="P90" i="5"/>
  <c r="P95" i="5" s="1"/>
  <c r="P84" i="5"/>
  <c r="P148" i="5" s="1"/>
  <c r="P153" i="5" s="1"/>
  <c r="O90" i="5"/>
  <c r="O95" i="5" s="1"/>
  <c r="O84" i="5"/>
  <c r="O148" i="5" s="1"/>
  <c r="O153" i="5" s="1"/>
  <c r="N90" i="5"/>
  <c r="N95" i="5" s="1"/>
  <c r="N84" i="5"/>
  <c r="N148" i="5" s="1"/>
  <c r="N153" i="5" s="1"/>
  <c r="M90" i="5"/>
  <c r="M95" i="5" s="1"/>
  <c r="M84" i="5"/>
  <c r="M148" i="5" s="1"/>
  <c r="M153" i="5" s="1"/>
  <c r="L90" i="5"/>
  <c r="L95" i="5" s="1"/>
  <c r="L84" i="5"/>
  <c r="L148" i="5" s="1"/>
  <c r="K90" i="5"/>
  <c r="K95" i="5" s="1"/>
  <c r="K84" i="5"/>
  <c r="K148" i="5" s="1"/>
  <c r="K153" i="5" s="1"/>
  <c r="J90" i="5"/>
  <c r="J95" i="5" s="1"/>
  <c r="J84" i="5"/>
  <c r="J148" i="5" s="1"/>
  <c r="J153" i="5" s="1"/>
  <c r="I90" i="5"/>
  <c r="I95" i="5" s="1"/>
  <c r="I84" i="5"/>
  <c r="I148" i="5" s="1"/>
  <c r="I153" i="5" s="1"/>
  <c r="H84" i="5"/>
  <c r="H148" i="5" s="1"/>
  <c r="H153" i="5" s="1"/>
  <c r="H90" i="5"/>
  <c r="H95" i="5" s="1"/>
  <c r="G84" i="5"/>
  <c r="G148" i="5" s="1"/>
  <c r="G153" i="5" s="1"/>
  <c r="G90" i="5"/>
  <c r="G95" i="5" s="1"/>
  <c r="F84" i="5"/>
  <c r="F148" i="5" s="1"/>
  <c r="F153" i="5" s="1"/>
  <c r="F90" i="5"/>
  <c r="F95" i="5" s="1"/>
  <c r="E84" i="5"/>
  <c r="E148" i="5" s="1"/>
  <c r="E90" i="5"/>
  <c r="E95" i="5" s="1"/>
  <c r="V120" i="5"/>
  <c r="R120" i="5"/>
  <c r="E120" i="5"/>
  <c r="W120" i="5"/>
  <c r="X120" i="5"/>
  <c r="Y120" i="5"/>
  <c r="F120" i="5"/>
  <c r="H120" i="5"/>
  <c r="Q120" i="5"/>
  <c r="T120" i="5"/>
  <c r="S120" i="5"/>
  <c r="U120" i="5"/>
  <c r="J120" i="5"/>
  <c r="L120" i="5"/>
  <c r="N120" i="5"/>
  <c r="G120" i="5"/>
  <c r="I120" i="5"/>
  <c r="K120" i="5"/>
  <c r="M120" i="5"/>
  <c r="O120" i="5"/>
  <c r="P120" i="5"/>
  <c r="D49" i="5"/>
  <c r="S106" i="5"/>
  <c r="S108" i="5" s="1"/>
  <c r="S110" i="5" s="1"/>
  <c r="S111" i="5" s="1"/>
  <c r="S112" i="5" s="1"/>
  <c r="O106" i="5"/>
  <c r="O108" i="5" s="1"/>
  <c r="O110" i="5" s="1"/>
  <c r="O111" i="5" s="1"/>
  <c r="O112" i="5" s="1"/>
  <c r="Q106" i="5"/>
  <c r="Q108" i="5" s="1"/>
  <c r="Q110" i="5" s="1"/>
  <c r="Q111" i="5" s="1"/>
  <c r="Q112" i="5" s="1"/>
  <c r="N106" i="5"/>
  <c r="N108" i="5" s="1"/>
  <c r="N110" i="5" s="1"/>
  <c r="N111" i="5" s="1"/>
  <c r="N112" i="5" s="1"/>
  <c r="M106" i="5"/>
  <c r="M108" i="5" s="1"/>
  <c r="M110" i="5" s="1"/>
  <c r="M111" i="5" s="1"/>
  <c r="M112" i="5" s="1"/>
  <c r="T106" i="5"/>
  <c r="T108" i="5" s="1"/>
  <c r="T110" i="5" s="1"/>
  <c r="T111" i="5" s="1"/>
  <c r="T112" i="5" s="1"/>
  <c r="U106" i="5"/>
  <c r="U108" i="5" s="1"/>
  <c r="U110" i="5" s="1"/>
  <c r="U111" i="5" s="1"/>
  <c r="U112" i="5" s="1"/>
  <c r="R106" i="5"/>
  <c r="R108" i="5" s="1"/>
  <c r="R110" i="5" s="1"/>
  <c r="R111" i="5" s="1"/>
  <c r="R112" i="5" s="1"/>
  <c r="V106" i="5"/>
  <c r="V108" i="5" s="1"/>
  <c r="V110" i="5" s="1"/>
  <c r="V111" i="5" s="1"/>
  <c r="V112" i="5" s="1"/>
  <c r="W106" i="5"/>
  <c r="W108" i="5" s="1"/>
  <c r="W110" i="5" s="1"/>
  <c r="W111" i="5" s="1"/>
  <c r="W112" i="5" s="1"/>
  <c r="X106" i="5"/>
  <c r="X108" i="5" s="1"/>
  <c r="X110" i="5" s="1"/>
  <c r="X111" i="5" s="1"/>
  <c r="X112" i="5" s="1"/>
  <c r="Y106" i="5"/>
  <c r="Y108" i="5" s="1"/>
  <c r="Y110" i="5" s="1"/>
  <c r="Y111" i="5" s="1"/>
  <c r="Y112" i="5" s="1"/>
  <c r="L106" i="5"/>
  <c r="L108" i="5" s="1"/>
  <c r="L110" i="5" s="1"/>
  <c r="L111" i="5" s="1"/>
  <c r="L112" i="5" s="1"/>
  <c r="K106" i="5"/>
  <c r="K108" i="5" s="1"/>
  <c r="K110" i="5" s="1"/>
  <c r="K111" i="5" s="1"/>
  <c r="K112" i="5" s="1"/>
  <c r="J106" i="5"/>
  <c r="J108" i="5" s="1"/>
  <c r="J110" i="5" s="1"/>
  <c r="J111" i="5" s="1"/>
  <c r="J112" i="5" s="1"/>
  <c r="I106" i="5"/>
  <c r="I108" i="5" s="1"/>
  <c r="I110" i="5" s="1"/>
  <c r="I111" i="5" s="1"/>
  <c r="I112" i="5" s="1"/>
  <c r="H106" i="5"/>
  <c r="H108" i="5" s="1"/>
  <c r="H110" i="5" s="1"/>
  <c r="H111" i="5" s="1"/>
  <c r="H112" i="5" s="1"/>
  <c r="G106" i="5"/>
  <c r="G108" i="5" s="1"/>
  <c r="G110" i="5" s="1"/>
  <c r="G111" i="5" s="1"/>
  <c r="G112" i="5" s="1"/>
  <c r="F106" i="5"/>
  <c r="F108" i="5" s="1"/>
  <c r="F110" i="5" s="1"/>
  <c r="F111" i="5" s="1"/>
  <c r="F112" i="5" s="1"/>
  <c r="E106" i="5"/>
  <c r="E108" i="5" s="1"/>
  <c r="E110" i="5" s="1"/>
  <c r="E111" i="5" s="1"/>
  <c r="E112" i="5" s="1"/>
  <c r="P106" i="5"/>
  <c r="P108" i="5" s="1"/>
  <c r="P110" i="5" s="1"/>
  <c r="P111" i="5" s="1"/>
  <c r="P112" i="5" s="1"/>
  <c r="W100" i="5"/>
  <c r="Y100" i="5"/>
  <c r="X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V103" i="5"/>
  <c r="V104" i="5" s="1"/>
  <c r="E103" i="5"/>
  <c r="U103" i="5"/>
  <c r="U104" i="5" s="1"/>
  <c r="F103" i="5"/>
  <c r="H103" i="5"/>
  <c r="T103" i="5"/>
  <c r="T104" i="5" s="1"/>
  <c r="S103" i="5"/>
  <c r="S104" i="5" s="1"/>
  <c r="R103" i="5"/>
  <c r="R104" i="5" s="1"/>
  <c r="Q103" i="5"/>
  <c r="Q104" i="5" s="1"/>
  <c r="P103" i="5"/>
  <c r="P104" i="5" s="1"/>
  <c r="W103" i="5"/>
  <c r="W104" i="5" s="1"/>
  <c r="O103" i="5"/>
  <c r="O104" i="5" s="1"/>
  <c r="N103" i="5"/>
  <c r="N104" i="5" s="1"/>
  <c r="M103" i="5"/>
  <c r="M104" i="5" s="1"/>
  <c r="X103" i="5"/>
  <c r="X104" i="5" s="1"/>
  <c r="L103" i="5"/>
  <c r="L104" i="5" s="1"/>
  <c r="K103" i="5"/>
  <c r="K104" i="5" s="1"/>
  <c r="J103" i="5"/>
  <c r="I103" i="5"/>
  <c r="I104" i="5" s="1"/>
  <c r="Y103" i="5"/>
  <c r="Y104" i="5" s="1"/>
  <c r="G103" i="5"/>
  <c r="G104" i="5" s="1"/>
  <c r="Y98" i="5"/>
  <c r="Y99" i="5" s="1"/>
  <c r="T98" i="5"/>
  <c r="T99" i="5" s="1"/>
  <c r="U98" i="5"/>
  <c r="U99" i="5" s="1"/>
  <c r="W98" i="5"/>
  <c r="W99" i="5" s="1"/>
  <c r="E98" i="5"/>
  <c r="E99" i="5" s="1"/>
  <c r="S98" i="5"/>
  <c r="S99" i="5" s="1"/>
  <c r="R98" i="5"/>
  <c r="R99" i="5" s="1"/>
  <c r="Q98" i="5"/>
  <c r="Q99" i="5" s="1"/>
  <c r="P98" i="5"/>
  <c r="P99" i="5" s="1"/>
  <c r="O98" i="5"/>
  <c r="O99" i="5" s="1"/>
  <c r="N98" i="5"/>
  <c r="N99" i="5" s="1"/>
  <c r="M98" i="5"/>
  <c r="M99" i="5" s="1"/>
  <c r="L98" i="5"/>
  <c r="L99" i="5" s="1"/>
  <c r="V98" i="5"/>
  <c r="V99" i="5" s="1"/>
  <c r="J98" i="5"/>
  <c r="J99" i="5" s="1"/>
  <c r="I98" i="5"/>
  <c r="I99" i="5" s="1"/>
  <c r="H98" i="5"/>
  <c r="H99" i="5" s="1"/>
  <c r="G98" i="5"/>
  <c r="G99" i="5" s="1"/>
  <c r="F98" i="5"/>
  <c r="F99" i="5" s="1"/>
  <c r="X98" i="5"/>
  <c r="X99" i="5" s="1"/>
  <c r="K98" i="5"/>
  <c r="K99" i="5" s="1"/>
  <c r="W101" i="5"/>
  <c r="Y101" i="5"/>
  <c r="X101" i="5"/>
  <c r="V101" i="5"/>
  <c r="U101" i="5"/>
  <c r="T101" i="5"/>
  <c r="S101" i="5"/>
  <c r="R101" i="5"/>
  <c r="Q101" i="5"/>
  <c r="P101" i="5"/>
  <c r="O101" i="5"/>
  <c r="N101" i="5"/>
  <c r="L101" i="5"/>
  <c r="K101" i="5"/>
  <c r="J101" i="5"/>
  <c r="I101" i="5"/>
  <c r="H101" i="5"/>
  <c r="G101" i="5"/>
  <c r="F101" i="5"/>
  <c r="E101" i="5"/>
  <c r="M101" i="5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Y84" i="4"/>
  <c r="Y148" i="4" s="1"/>
  <c r="Y153" i="4" s="1"/>
  <c r="Y90" i="4"/>
  <c r="Y95" i="4" s="1"/>
  <c r="X84" i="4"/>
  <c r="X148" i="4" s="1"/>
  <c r="X153" i="4" s="1"/>
  <c r="X90" i="4"/>
  <c r="X95" i="4" s="1"/>
  <c r="W84" i="4"/>
  <c r="W148" i="4" s="1"/>
  <c r="W153" i="4" s="1"/>
  <c r="W90" i="4"/>
  <c r="W95" i="4" s="1"/>
  <c r="V90" i="4"/>
  <c r="V95" i="4" s="1"/>
  <c r="V84" i="4"/>
  <c r="V148" i="4" s="1"/>
  <c r="V153" i="4" s="1"/>
  <c r="U90" i="4"/>
  <c r="U95" i="4" s="1"/>
  <c r="U84" i="4"/>
  <c r="U148" i="4" s="1"/>
  <c r="U153" i="4" s="1"/>
  <c r="T84" i="4"/>
  <c r="T148" i="4" s="1"/>
  <c r="T153" i="4" s="1"/>
  <c r="T90" i="4"/>
  <c r="T95" i="4" s="1"/>
  <c r="S84" i="4"/>
  <c r="S148" i="4" s="1"/>
  <c r="S90" i="4"/>
  <c r="S95" i="4" s="1"/>
  <c r="R90" i="4"/>
  <c r="R95" i="4" s="1"/>
  <c r="R84" i="4"/>
  <c r="R148" i="4" s="1"/>
  <c r="R153" i="4" s="1"/>
  <c r="Q84" i="4"/>
  <c r="Q148" i="4" s="1"/>
  <c r="Q153" i="4" s="1"/>
  <c r="Q90" i="4"/>
  <c r="Q95" i="4" s="1"/>
  <c r="P90" i="4"/>
  <c r="P95" i="4" s="1"/>
  <c r="P84" i="4"/>
  <c r="P148" i="4" s="1"/>
  <c r="P153" i="4" s="1"/>
  <c r="O90" i="4"/>
  <c r="O95" i="4" s="1"/>
  <c r="O84" i="4"/>
  <c r="O148" i="4" s="1"/>
  <c r="O153" i="4" s="1"/>
  <c r="N90" i="4"/>
  <c r="N95" i="4" s="1"/>
  <c r="N84" i="4"/>
  <c r="N148" i="4" s="1"/>
  <c r="N153" i="4" s="1"/>
  <c r="M90" i="4"/>
  <c r="M95" i="4" s="1"/>
  <c r="M84" i="4"/>
  <c r="M148" i="4" s="1"/>
  <c r="M153" i="4" s="1"/>
  <c r="L84" i="4"/>
  <c r="L148" i="4" s="1"/>
  <c r="L90" i="4"/>
  <c r="L95" i="4" s="1"/>
  <c r="K84" i="4"/>
  <c r="K148" i="4" s="1"/>
  <c r="K153" i="4" s="1"/>
  <c r="K90" i="4"/>
  <c r="K95" i="4" s="1"/>
  <c r="J84" i="4"/>
  <c r="J148" i="4" s="1"/>
  <c r="J153" i="4" s="1"/>
  <c r="J90" i="4"/>
  <c r="J95" i="4" s="1"/>
  <c r="I84" i="4"/>
  <c r="I148" i="4" s="1"/>
  <c r="I153" i="4" s="1"/>
  <c r="I90" i="4"/>
  <c r="I95" i="4" s="1"/>
  <c r="H84" i="4"/>
  <c r="H148" i="4" s="1"/>
  <c r="H153" i="4" s="1"/>
  <c r="H90" i="4"/>
  <c r="H95" i="4" s="1"/>
  <c r="G84" i="4"/>
  <c r="G148" i="4" s="1"/>
  <c r="G153" i="4" s="1"/>
  <c r="G90" i="4"/>
  <c r="G95" i="4" s="1"/>
  <c r="F90" i="4"/>
  <c r="F95" i="4" s="1"/>
  <c r="F148" i="4"/>
  <c r="F153" i="4" s="1"/>
  <c r="E90" i="4"/>
  <c r="E95" i="4" s="1"/>
  <c r="E148" i="4" s="1"/>
  <c r="G174" i="4"/>
  <c r="F174" i="4"/>
  <c r="E174" i="4"/>
  <c r="G173" i="4"/>
  <c r="C7" i="7" s="1"/>
  <c r="F173" i="4"/>
  <c r="C6" i="7" s="1"/>
  <c r="E173" i="4"/>
  <c r="C5" i="7" s="1"/>
  <c r="L120" i="4"/>
  <c r="Y120" i="4"/>
  <c r="I120" i="4"/>
  <c r="H120" i="4"/>
  <c r="G120" i="4"/>
  <c r="F120" i="4"/>
  <c r="M120" i="4"/>
  <c r="N120" i="4"/>
  <c r="O120" i="4"/>
  <c r="P120" i="4"/>
  <c r="J120" i="4"/>
  <c r="K120" i="4"/>
  <c r="Q120" i="4"/>
  <c r="R120" i="4"/>
  <c r="S120" i="4"/>
  <c r="T120" i="4"/>
  <c r="U120" i="4"/>
  <c r="V120" i="4"/>
  <c r="W120" i="4"/>
  <c r="X120" i="4"/>
  <c r="L106" i="4"/>
  <c r="L108" i="4" s="1"/>
  <c r="L110" i="4" s="1"/>
  <c r="L111" i="4" s="1"/>
  <c r="L112" i="4" s="1"/>
  <c r="Y106" i="4"/>
  <c r="Y108" i="4" s="1"/>
  <c r="Y110" i="4" s="1"/>
  <c r="Y111" i="4" s="1"/>
  <c r="Y112" i="4" s="1"/>
  <c r="J106" i="4"/>
  <c r="J108" i="4" s="1"/>
  <c r="J110" i="4" s="1"/>
  <c r="J111" i="4" s="1"/>
  <c r="J112" i="4" s="1"/>
  <c r="M106" i="4"/>
  <c r="M108" i="4" s="1"/>
  <c r="M110" i="4" s="1"/>
  <c r="M111" i="4" s="1"/>
  <c r="M112" i="4" s="1"/>
  <c r="X106" i="4"/>
  <c r="X108" i="4" s="1"/>
  <c r="X110" i="4" s="1"/>
  <c r="X111" i="4" s="1"/>
  <c r="X112" i="4" s="1"/>
  <c r="V106" i="4"/>
  <c r="V108" i="4" s="1"/>
  <c r="V110" i="4" s="1"/>
  <c r="V111" i="4" s="1"/>
  <c r="V112" i="4" s="1"/>
  <c r="U106" i="4"/>
  <c r="U108" i="4" s="1"/>
  <c r="U110" i="4" s="1"/>
  <c r="U111" i="4" s="1"/>
  <c r="U112" i="4" s="1"/>
  <c r="T106" i="4"/>
  <c r="T108" i="4" s="1"/>
  <c r="T110" i="4" s="1"/>
  <c r="T111" i="4" s="1"/>
  <c r="T112" i="4" s="1"/>
  <c r="S106" i="4"/>
  <c r="S108" i="4" s="1"/>
  <c r="S110" i="4" s="1"/>
  <c r="S111" i="4" s="1"/>
  <c r="S112" i="4" s="1"/>
  <c r="W106" i="4"/>
  <c r="W108" i="4" s="1"/>
  <c r="W110" i="4" s="1"/>
  <c r="W111" i="4" s="1"/>
  <c r="W112" i="4" s="1"/>
  <c r="O106" i="4"/>
  <c r="O108" i="4" s="1"/>
  <c r="O110" i="4" s="1"/>
  <c r="O111" i="4" s="1"/>
  <c r="O112" i="4" s="1"/>
  <c r="K106" i="4"/>
  <c r="K108" i="4" s="1"/>
  <c r="K110" i="4" s="1"/>
  <c r="K111" i="4" s="1"/>
  <c r="K112" i="4" s="1"/>
  <c r="G106" i="4"/>
  <c r="G108" i="4" s="1"/>
  <c r="G110" i="4" s="1"/>
  <c r="G111" i="4" s="1"/>
  <c r="G112" i="4" s="1"/>
  <c r="R106" i="4"/>
  <c r="R108" i="4" s="1"/>
  <c r="R110" i="4" s="1"/>
  <c r="R111" i="4" s="1"/>
  <c r="R112" i="4" s="1"/>
  <c r="Q106" i="4"/>
  <c r="Q108" i="4" s="1"/>
  <c r="Q110" i="4" s="1"/>
  <c r="Q111" i="4" s="1"/>
  <c r="Q112" i="4" s="1"/>
  <c r="P106" i="4"/>
  <c r="P108" i="4" s="1"/>
  <c r="P110" i="4" s="1"/>
  <c r="P111" i="4" s="1"/>
  <c r="P112" i="4" s="1"/>
  <c r="N106" i="4"/>
  <c r="N108" i="4" s="1"/>
  <c r="N110" i="4" s="1"/>
  <c r="N111" i="4" s="1"/>
  <c r="N112" i="4" s="1"/>
  <c r="E106" i="4"/>
  <c r="E108" i="4" s="1"/>
  <c r="E111" i="4" s="1"/>
  <c r="E112" i="4" s="1"/>
  <c r="F106" i="4"/>
  <c r="F108" i="4" s="1"/>
  <c r="F110" i="4" s="1"/>
  <c r="F111" i="4" s="1"/>
  <c r="F112" i="4" s="1"/>
  <c r="H106" i="4"/>
  <c r="H108" i="4" s="1"/>
  <c r="H110" i="4" s="1"/>
  <c r="H111" i="4" s="1"/>
  <c r="H112" i="4" s="1"/>
  <c r="I106" i="4"/>
  <c r="I108" i="4" s="1"/>
  <c r="I110" i="4" s="1"/>
  <c r="I111" i="4" s="1"/>
  <c r="I112" i="4" s="1"/>
  <c r="N101" i="4"/>
  <c r="M101" i="4"/>
  <c r="O101" i="4"/>
  <c r="P101" i="4"/>
  <c r="Q101" i="4"/>
  <c r="R101" i="4"/>
  <c r="S101" i="4"/>
  <c r="T101" i="4"/>
  <c r="U101" i="4"/>
  <c r="V101" i="4"/>
  <c r="W101" i="4"/>
  <c r="X101" i="4"/>
  <c r="Y101" i="4"/>
  <c r="L101" i="4"/>
  <c r="K101" i="4"/>
  <c r="J101" i="4"/>
  <c r="I101" i="4"/>
  <c r="E101" i="4"/>
  <c r="F101" i="4"/>
  <c r="G101" i="4"/>
  <c r="H101" i="4"/>
  <c r="J98" i="4"/>
  <c r="J99" i="4" s="1"/>
  <c r="J102" i="4" s="1"/>
  <c r="I98" i="4"/>
  <c r="I99" i="4" s="1"/>
  <c r="I102" i="4" s="1"/>
  <c r="H98" i="4"/>
  <c r="H99" i="4" s="1"/>
  <c r="H102" i="4" s="1"/>
  <c r="G98" i="4"/>
  <c r="G99" i="4" s="1"/>
  <c r="G102" i="4" s="1"/>
  <c r="F98" i="4"/>
  <c r="F99" i="4" s="1"/>
  <c r="F102" i="4" s="1"/>
  <c r="E98" i="4"/>
  <c r="E99" i="4" s="1"/>
  <c r="E102" i="4" s="1"/>
  <c r="K98" i="4"/>
  <c r="K99" i="4" s="1"/>
  <c r="K102" i="4" s="1"/>
  <c r="L98" i="4"/>
  <c r="L99" i="4" s="1"/>
  <c r="L102" i="4" s="1"/>
  <c r="M98" i="4"/>
  <c r="M99" i="4" s="1"/>
  <c r="Y98" i="4"/>
  <c r="Y99" i="4" s="1"/>
  <c r="Y102" i="4" s="1"/>
  <c r="X98" i="4"/>
  <c r="X99" i="4" s="1"/>
  <c r="X102" i="4" s="1"/>
  <c r="W98" i="4"/>
  <c r="W99" i="4" s="1"/>
  <c r="W102" i="4" s="1"/>
  <c r="V98" i="4"/>
  <c r="V99" i="4" s="1"/>
  <c r="V102" i="4" s="1"/>
  <c r="U98" i="4"/>
  <c r="U99" i="4" s="1"/>
  <c r="U102" i="4" s="1"/>
  <c r="T98" i="4"/>
  <c r="T99" i="4" s="1"/>
  <c r="T102" i="4" s="1"/>
  <c r="S98" i="4"/>
  <c r="S99" i="4" s="1"/>
  <c r="S102" i="4" s="1"/>
  <c r="R98" i="4"/>
  <c r="R99" i="4" s="1"/>
  <c r="R102" i="4" s="1"/>
  <c r="Q98" i="4"/>
  <c r="Q99" i="4" s="1"/>
  <c r="Q102" i="4" s="1"/>
  <c r="P98" i="4"/>
  <c r="P99" i="4" s="1"/>
  <c r="P102" i="4" s="1"/>
  <c r="O98" i="4"/>
  <c r="O99" i="4" s="1"/>
  <c r="N98" i="4"/>
  <c r="N99" i="4" s="1"/>
  <c r="M102" i="4" l="1"/>
  <c r="N102" i="4"/>
  <c r="O102" i="4"/>
  <c r="Y129" i="6"/>
  <c r="Y170" i="6"/>
  <c r="Y112" i="6"/>
  <c r="X170" i="6"/>
  <c r="X112" i="6"/>
  <c r="X129" i="6"/>
  <c r="W112" i="6"/>
  <c r="W170" i="6"/>
  <c r="V170" i="6"/>
  <c r="V112" i="6"/>
  <c r="U170" i="6"/>
  <c r="U129" i="6"/>
  <c r="U112" i="6"/>
  <c r="T129" i="6"/>
  <c r="T170" i="6"/>
  <c r="T112" i="6"/>
  <c r="S170" i="6"/>
  <c r="S112" i="6"/>
  <c r="S129" i="6"/>
  <c r="R170" i="6"/>
  <c r="R129" i="6"/>
  <c r="R112" i="6"/>
  <c r="Q112" i="6"/>
  <c r="Q170" i="6"/>
  <c r="Q129" i="6"/>
  <c r="P170" i="6"/>
  <c r="P112" i="6"/>
  <c r="P129" i="6"/>
  <c r="O112" i="6"/>
  <c r="O170" i="6"/>
  <c r="N170" i="6"/>
  <c r="N129" i="6"/>
  <c r="N112" i="6"/>
  <c r="M170" i="6"/>
  <c r="M112" i="6"/>
  <c r="M129" i="6"/>
  <c r="L112" i="6"/>
  <c r="L170" i="6"/>
  <c r="K112" i="6"/>
  <c r="K170" i="6"/>
  <c r="J170" i="6"/>
  <c r="J112" i="6"/>
  <c r="I112" i="6"/>
  <c r="I170" i="6"/>
  <c r="H170" i="6"/>
  <c r="H112" i="6"/>
  <c r="G112" i="6"/>
  <c r="G170" i="6"/>
  <c r="F170" i="6"/>
  <c r="F112" i="6"/>
  <c r="E170" i="6"/>
  <c r="E112" i="6"/>
  <c r="E137" i="6"/>
  <c r="F137" i="6"/>
  <c r="H137" i="6"/>
  <c r="J137" i="6"/>
  <c r="M137" i="6"/>
  <c r="O137" i="6"/>
  <c r="Y137" i="6"/>
  <c r="P137" i="6"/>
  <c r="X137" i="6"/>
  <c r="W137" i="6"/>
  <c r="V137" i="6"/>
  <c r="U137" i="6"/>
  <c r="T137" i="6"/>
  <c r="S137" i="6"/>
  <c r="R137" i="6"/>
  <c r="Q137" i="6"/>
  <c r="N137" i="6"/>
  <c r="L137" i="6"/>
  <c r="K137" i="6"/>
  <c r="I137" i="6"/>
  <c r="G137" i="6"/>
  <c r="E119" i="6"/>
  <c r="E120" i="6" s="1"/>
  <c r="E129" i="6" s="1"/>
  <c r="F119" i="6"/>
  <c r="F120" i="6" s="1"/>
  <c r="F129" i="6" s="1"/>
  <c r="H119" i="6"/>
  <c r="H120" i="6" s="1"/>
  <c r="H129" i="6" s="1"/>
  <c r="J119" i="6"/>
  <c r="J120" i="6" s="1"/>
  <c r="J129" i="6" s="1"/>
  <c r="L119" i="6"/>
  <c r="L120" i="6" s="1"/>
  <c r="L129" i="6" s="1"/>
  <c r="N119" i="6"/>
  <c r="N120" i="6" s="1"/>
  <c r="P119" i="6"/>
  <c r="P120" i="6" s="1"/>
  <c r="R119" i="6"/>
  <c r="R120" i="6" s="1"/>
  <c r="T119" i="6"/>
  <c r="T120" i="6" s="1"/>
  <c r="V119" i="6"/>
  <c r="V120" i="6" s="1"/>
  <c r="V129" i="6" s="1"/>
  <c r="W119" i="6"/>
  <c r="W120" i="6" s="1"/>
  <c r="W129" i="6" s="1"/>
  <c r="Y119" i="6"/>
  <c r="Y120" i="6" s="1"/>
  <c r="G119" i="6"/>
  <c r="G120" i="6" s="1"/>
  <c r="G129" i="6" s="1"/>
  <c r="I119" i="6"/>
  <c r="I120" i="6" s="1"/>
  <c r="I129" i="6" s="1"/>
  <c r="K119" i="6"/>
  <c r="K120" i="6" s="1"/>
  <c r="K129" i="6" s="1"/>
  <c r="M119" i="6"/>
  <c r="M120" i="6" s="1"/>
  <c r="O119" i="6"/>
  <c r="O120" i="6" s="1"/>
  <c r="O129" i="6" s="1"/>
  <c r="Q119" i="6"/>
  <c r="Q120" i="6" s="1"/>
  <c r="S119" i="6"/>
  <c r="S120" i="6" s="1"/>
  <c r="U119" i="6"/>
  <c r="U120" i="6" s="1"/>
  <c r="X119" i="6"/>
  <c r="X120" i="6" s="1"/>
  <c r="Y154" i="5"/>
  <c r="Y113" i="5"/>
  <c r="Y96" i="5"/>
  <c r="X154" i="5"/>
  <c r="X113" i="5"/>
  <c r="X96" i="5"/>
  <c r="W154" i="5"/>
  <c r="W113" i="5"/>
  <c r="W96" i="5"/>
  <c r="V154" i="5"/>
  <c r="V113" i="5"/>
  <c r="V96" i="5"/>
  <c r="U154" i="5"/>
  <c r="U113" i="5"/>
  <c r="U96" i="5"/>
  <c r="T154" i="5"/>
  <c r="T113" i="5"/>
  <c r="T96" i="5"/>
  <c r="S154" i="5"/>
  <c r="S113" i="5"/>
  <c r="S96" i="5"/>
  <c r="R154" i="5"/>
  <c r="R113" i="5"/>
  <c r="R96" i="5"/>
  <c r="Q154" i="5"/>
  <c r="Q113" i="5"/>
  <c r="Q96" i="5"/>
  <c r="P154" i="5"/>
  <c r="P113" i="5"/>
  <c r="P96" i="5"/>
  <c r="O154" i="5"/>
  <c r="O113" i="5"/>
  <c r="O96" i="5"/>
  <c r="N154" i="5"/>
  <c r="N113" i="5"/>
  <c r="N96" i="5"/>
  <c r="M154" i="5"/>
  <c r="M113" i="5"/>
  <c r="M96" i="5"/>
  <c r="L154" i="5"/>
  <c r="L113" i="5"/>
  <c r="L96" i="5"/>
  <c r="K154" i="5"/>
  <c r="K113" i="5"/>
  <c r="K96" i="5"/>
  <c r="J154" i="5"/>
  <c r="J96" i="5"/>
  <c r="I154" i="5"/>
  <c r="I113" i="5"/>
  <c r="I96" i="5"/>
  <c r="H154" i="5"/>
  <c r="H96" i="5"/>
  <c r="G154" i="5"/>
  <c r="G113" i="5"/>
  <c r="G96" i="5"/>
  <c r="F154" i="5"/>
  <c r="F96" i="5"/>
  <c r="E96" i="5"/>
  <c r="E154" i="5"/>
  <c r="V121" i="5"/>
  <c r="V150" i="5"/>
  <c r="R121" i="5"/>
  <c r="R150" i="5"/>
  <c r="E121" i="5"/>
  <c r="E150" i="5"/>
  <c r="W121" i="5"/>
  <c r="W150" i="5"/>
  <c r="X121" i="5"/>
  <c r="X150" i="5"/>
  <c r="Y121" i="5"/>
  <c r="Y150" i="5"/>
  <c r="F150" i="5"/>
  <c r="F121" i="5"/>
  <c r="H150" i="5"/>
  <c r="H121" i="5"/>
  <c r="Q150" i="5"/>
  <c r="Q121" i="5"/>
  <c r="T121" i="5"/>
  <c r="T150" i="5"/>
  <c r="S121" i="5"/>
  <c r="S150" i="5"/>
  <c r="U121" i="5"/>
  <c r="U150" i="5"/>
  <c r="J121" i="5"/>
  <c r="L121" i="5"/>
  <c r="N121" i="5"/>
  <c r="G121" i="5"/>
  <c r="I121" i="5"/>
  <c r="K121" i="5"/>
  <c r="M121" i="5"/>
  <c r="O121" i="5"/>
  <c r="P121" i="5"/>
  <c r="S153" i="5"/>
  <c r="G183" i="5"/>
  <c r="E149" i="5"/>
  <c r="F149" i="5"/>
  <c r="G149" i="5"/>
  <c r="G150" i="5" s="1"/>
  <c r="H149" i="5"/>
  <c r="I149" i="5"/>
  <c r="I150" i="5" s="1"/>
  <c r="J149" i="5"/>
  <c r="J150" i="5" s="1"/>
  <c r="K149" i="5"/>
  <c r="K150" i="5" s="1"/>
  <c r="L149" i="5"/>
  <c r="L150" i="5" s="1"/>
  <c r="M149" i="5"/>
  <c r="M150" i="5" s="1"/>
  <c r="N149" i="5"/>
  <c r="N150" i="5" s="1"/>
  <c r="O149" i="5"/>
  <c r="O150" i="5" s="1"/>
  <c r="P149" i="5"/>
  <c r="P150" i="5" s="1"/>
  <c r="Q149" i="5"/>
  <c r="R149" i="5"/>
  <c r="S149" i="5"/>
  <c r="T149" i="5"/>
  <c r="U149" i="5"/>
  <c r="V149" i="5"/>
  <c r="W149" i="5"/>
  <c r="X149" i="5"/>
  <c r="Y149" i="5"/>
  <c r="E153" i="5"/>
  <c r="E183" i="5"/>
  <c r="L153" i="5"/>
  <c r="F183" i="5"/>
  <c r="Y154" i="4"/>
  <c r="Y96" i="4"/>
  <c r="X154" i="4"/>
  <c r="X96" i="4"/>
  <c r="W154" i="4"/>
  <c r="W96" i="4"/>
  <c r="V154" i="4"/>
  <c r="V96" i="4"/>
  <c r="U154" i="4"/>
  <c r="U96" i="4"/>
  <c r="T154" i="4"/>
  <c r="T96" i="4"/>
  <c r="S154" i="4"/>
  <c r="S96" i="4"/>
  <c r="R154" i="4"/>
  <c r="R96" i="4"/>
  <c r="Q154" i="4"/>
  <c r="Q96" i="4"/>
  <c r="P154" i="4"/>
  <c r="P96" i="4"/>
  <c r="O154" i="4"/>
  <c r="O96" i="4"/>
  <c r="N154" i="4"/>
  <c r="N96" i="4"/>
  <c r="M154" i="4"/>
  <c r="M96" i="4"/>
  <c r="L154" i="4"/>
  <c r="L96" i="4"/>
  <c r="K154" i="4"/>
  <c r="K96" i="4"/>
  <c r="J154" i="4"/>
  <c r="J96" i="4"/>
  <c r="I154" i="4"/>
  <c r="I96" i="4"/>
  <c r="H154" i="4"/>
  <c r="H96" i="4"/>
  <c r="G154" i="4"/>
  <c r="G96" i="4"/>
  <c r="F154" i="4"/>
  <c r="F96" i="4"/>
  <c r="E154" i="4"/>
  <c r="E96" i="4"/>
  <c r="L121" i="4"/>
  <c r="Y121" i="4"/>
  <c r="I121" i="4"/>
  <c r="H121" i="4"/>
  <c r="G121" i="4"/>
  <c r="F121" i="4"/>
  <c r="E121" i="4"/>
  <c r="M121" i="4"/>
  <c r="N121" i="4"/>
  <c r="O121" i="4"/>
  <c r="P121" i="4"/>
  <c r="J121" i="4"/>
  <c r="K121" i="4"/>
  <c r="Q121" i="4"/>
  <c r="R121" i="4"/>
  <c r="S121" i="4"/>
  <c r="T121" i="4"/>
  <c r="U121" i="4"/>
  <c r="V121" i="4"/>
  <c r="W121" i="4"/>
  <c r="X121" i="4"/>
  <c r="L153" i="4"/>
  <c r="F183" i="4"/>
  <c r="S153" i="4"/>
  <c r="G183" i="4"/>
  <c r="E150" i="4"/>
  <c r="F149" i="4"/>
  <c r="F150" i="4" s="1"/>
  <c r="G149" i="4"/>
  <c r="G150" i="4" s="1"/>
  <c r="H149" i="4"/>
  <c r="H150" i="4" s="1"/>
  <c r="I149" i="4"/>
  <c r="I150" i="4" s="1"/>
  <c r="J149" i="4"/>
  <c r="J150" i="4" s="1"/>
  <c r="K149" i="4"/>
  <c r="K150" i="4" s="1"/>
  <c r="L149" i="4"/>
  <c r="L150" i="4" s="1"/>
  <c r="M149" i="4"/>
  <c r="M150" i="4" s="1"/>
  <c r="N149" i="4"/>
  <c r="N150" i="4" s="1"/>
  <c r="O149" i="4"/>
  <c r="O150" i="4" s="1"/>
  <c r="P149" i="4"/>
  <c r="P150" i="4" s="1"/>
  <c r="Q149" i="4"/>
  <c r="Q150" i="4" s="1"/>
  <c r="R149" i="4"/>
  <c r="R150" i="4" s="1"/>
  <c r="S149" i="4"/>
  <c r="S150" i="4" s="1"/>
  <c r="T149" i="4"/>
  <c r="T150" i="4" s="1"/>
  <c r="U149" i="4"/>
  <c r="U150" i="4" s="1"/>
  <c r="V149" i="4"/>
  <c r="V150" i="4" s="1"/>
  <c r="W149" i="4"/>
  <c r="W150" i="4" s="1"/>
  <c r="X149" i="4"/>
  <c r="X150" i="4" s="1"/>
  <c r="Y149" i="4"/>
  <c r="Y150" i="4" s="1"/>
  <c r="U103" i="4"/>
  <c r="U104" i="4" s="1"/>
  <c r="U113" i="4" s="1"/>
  <c r="W103" i="4"/>
  <c r="W104" i="4" s="1"/>
  <c r="W113" i="4" s="1"/>
  <c r="Y103" i="4"/>
  <c r="Y104" i="4" s="1"/>
  <c r="Y113" i="4" s="1"/>
  <c r="E103" i="4"/>
  <c r="E104" i="4" s="1"/>
  <c r="E113" i="4" s="1"/>
  <c r="F103" i="4"/>
  <c r="F104" i="4" s="1"/>
  <c r="F113" i="4" s="1"/>
  <c r="G103" i="4"/>
  <c r="G104" i="4" s="1"/>
  <c r="G113" i="4" s="1"/>
  <c r="H103" i="4"/>
  <c r="H104" i="4" s="1"/>
  <c r="H113" i="4" s="1"/>
  <c r="I103" i="4"/>
  <c r="I104" i="4" s="1"/>
  <c r="I113" i="4" s="1"/>
  <c r="J103" i="4"/>
  <c r="J104" i="4" s="1"/>
  <c r="J113" i="4" s="1"/>
  <c r="K103" i="4"/>
  <c r="K104" i="4" s="1"/>
  <c r="K113" i="4" s="1"/>
  <c r="L103" i="4"/>
  <c r="L104" i="4" s="1"/>
  <c r="L113" i="4" s="1"/>
  <c r="M103" i="4"/>
  <c r="M104" i="4" s="1"/>
  <c r="M113" i="4" s="1"/>
  <c r="N103" i="4"/>
  <c r="N104" i="4" s="1"/>
  <c r="N113" i="4" s="1"/>
  <c r="O103" i="4"/>
  <c r="O104" i="4" s="1"/>
  <c r="O113" i="4" s="1"/>
  <c r="P103" i="4"/>
  <c r="P104" i="4" s="1"/>
  <c r="P113" i="4" s="1"/>
  <c r="Q103" i="4"/>
  <c r="Q104" i="4" s="1"/>
  <c r="Q113" i="4" s="1"/>
  <c r="R103" i="4"/>
  <c r="R104" i="4" s="1"/>
  <c r="R113" i="4" s="1"/>
  <c r="S103" i="4"/>
  <c r="S104" i="4" s="1"/>
  <c r="S113" i="4" s="1"/>
  <c r="T103" i="4"/>
  <c r="T104" i="4" s="1"/>
  <c r="T113" i="4" s="1"/>
  <c r="V103" i="4"/>
  <c r="V104" i="4" s="1"/>
  <c r="V113" i="4" s="1"/>
  <c r="X103" i="4"/>
  <c r="X104" i="4" s="1"/>
  <c r="X113" i="4" s="1"/>
  <c r="T102" i="5"/>
  <c r="E102" i="5"/>
  <c r="R102" i="5"/>
  <c r="P102" i="5"/>
  <c r="N102" i="5"/>
  <c r="L102" i="5"/>
  <c r="J102" i="5"/>
  <c r="H102" i="5"/>
  <c r="F102" i="5"/>
  <c r="K102" i="5"/>
  <c r="E104" i="5"/>
  <c r="E113" i="5" s="1"/>
  <c r="F104" i="5"/>
  <c r="F113" i="5" s="1"/>
  <c r="H104" i="5"/>
  <c r="H113" i="5" s="1"/>
  <c r="J104" i="5"/>
  <c r="J113" i="5" s="1"/>
  <c r="Y102" i="5"/>
  <c r="U102" i="5"/>
  <c r="W102" i="5"/>
  <c r="S102" i="5"/>
  <c r="Q102" i="5"/>
  <c r="O102" i="5"/>
  <c r="M102" i="5"/>
  <c r="V102" i="5"/>
  <c r="I102" i="5"/>
  <c r="G102" i="5"/>
  <c r="X102" i="5"/>
  <c r="Y165" i="6"/>
  <c r="Y166" i="6" s="1"/>
  <c r="Y164" i="6"/>
  <c r="Y169" i="6" s="1"/>
  <c r="X164" i="6"/>
  <c r="X169" i="6" s="1"/>
  <c r="X165" i="6"/>
  <c r="X166" i="6" s="1"/>
  <c r="W164" i="6"/>
  <c r="W169" i="6" s="1"/>
  <c r="W165" i="6"/>
  <c r="W166" i="6" s="1"/>
  <c r="V165" i="6"/>
  <c r="V166" i="6" s="1"/>
  <c r="V164" i="6"/>
  <c r="V169" i="6" s="1"/>
  <c r="U164" i="6"/>
  <c r="U169" i="6" s="1"/>
  <c r="U165" i="6"/>
  <c r="U166" i="6" s="1"/>
  <c r="T164" i="6"/>
  <c r="T169" i="6" s="1"/>
  <c r="T165" i="6"/>
  <c r="T166" i="6" s="1"/>
  <c r="S164" i="6"/>
  <c r="S165" i="6"/>
  <c r="S166" i="6" s="1"/>
  <c r="R164" i="6"/>
  <c r="R169" i="6" s="1"/>
  <c r="R165" i="6"/>
  <c r="R166" i="6" s="1"/>
  <c r="Q164" i="6"/>
  <c r="Q169" i="6" s="1"/>
  <c r="Q165" i="6"/>
  <c r="Q166" i="6" s="1"/>
  <c r="P164" i="6"/>
  <c r="P169" i="6" s="1"/>
  <c r="P165" i="6"/>
  <c r="P166" i="6" s="1"/>
  <c r="O164" i="6"/>
  <c r="O169" i="6" s="1"/>
  <c r="O165" i="6"/>
  <c r="O166" i="6" s="1"/>
  <c r="N165" i="6"/>
  <c r="N166" i="6" s="1"/>
  <c r="N164" i="6"/>
  <c r="N169" i="6" s="1"/>
  <c r="M164" i="6"/>
  <c r="M169" i="6" s="1"/>
  <c r="M165" i="6"/>
  <c r="M166" i="6" s="1"/>
  <c r="L165" i="6"/>
  <c r="L166" i="6" s="1"/>
  <c r="L164" i="6"/>
  <c r="K165" i="6"/>
  <c r="K166" i="6" s="1"/>
  <c r="K164" i="6"/>
  <c r="K169" i="6" s="1"/>
  <c r="J164" i="6"/>
  <c r="J169" i="6" s="1"/>
  <c r="J165" i="6"/>
  <c r="J166" i="6" s="1"/>
  <c r="I164" i="6"/>
  <c r="I169" i="6" s="1"/>
  <c r="I165" i="6"/>
  <c r="I166" i="6" s="1"/>
  <c r="H164" i="6"/>
  <c r="H169" i="6" s="1"/>
  <c r="H165" i="6"/>
  <c r="H166" i="6" s="1"/>
  <c r="G164" i="6"/>
  <c r="G169" i="6" s="1"/>
  <c r="G165" i="6"/>
  <c r="G166" i="6" s="1"/>
  <c r="F164" i="6"/>
  <c r="F169" i="6" s="1"/>
  <c r="F165" i="6"/>
  <c r="F166" i="6" s="1"/>
  <c r="E164" i="6"/>
  <c r="E165" i="6"/>
  <c r="E166" i="6" s="1"/>
  <c r="E153" i="4" l="1"/>
  <c r="E183" i="4"/>
  <c r="Y160" i="6"/>
  <c r="Y159" i="6"/>
  <c r="Y153" i="6"/>
  <c r="Y130" i="6"/>
  <c r="Y131" i="6"/>
  <c r="Y132" i="6"/>
  <c r="Y140" i="6"/>
  <c r="Y142" i="6"/>
  <c r="Y144" i="6"/>
  <c r="Y147" i="6"/>
  <c r="Y157" i="6"/>
  <c r="Y158" i="6"/>
  <c r="H247" i="6"/>
  <c r="X153" i="6"/>
  <c r="X160" i="6"/>
  <c r="X159" i="6"/>
  <c r="X130" i="6"/>
  <c r="X131" i="6"/>
  <c r="X132" i="6"/>
  <c r="X140" i="6"/>
  <c r="X142" i="6"/>
  <c r="X144" i="6"/>
  <c r="X147" i="6"/>
  <c r="X157" i="6"/>
  <c r="X158" i="6"/>
  <c r="H246" i="6"/>
  <c r="W153" i="6"/>
  <c r="W160" i="6"/>
  <c r="W159" i="6"/>
  <c r="W130" i="6"/>
  <c r="W131" i="6"/>
  <c r="W132" i="6"/>
  <c r="W140" i="6"/>
  <c r="W142" i="6"/>
  <c r="W144" i="6"/>
  <c r="W147" i="6"/>
  <c r="W157" i="6"/>
  <c r="W158" i="6"/>
  <c r="H245" i="6"/>
  <c r="V159" i="6"/>
  <c r="V160" i="6"/>
  <c r="V153" i="6"/>
  <c r="V130" i="6"/>
  <c r="V131" i="6"/>
  <c r="V132" i="6"/>
  <c r="V140" i="6"/>
  <c r="V142" i="6"/>
  <c r="V144" i="6"/>
  <c r="V147" i="6"/>
  <c r="V157" i="6"/>
  <c r="V158" i="6"/>
  <c r="H244" i="6"/>
  <c r="U159" i="6"/>
  <c r="U160" i="6"/>
  <c r="U153" i="6"/>
  <c r="U130" i="6"/>
  <c r="U131" i="6"/>
  <c r="U132" i="6"/>
  <c r="U140" i="6"/>
  <c r="U142" i="6"/>
  <c r="U144" i="6"/>
  <c r="U147" i="6"/>
  <c r="U157" i="6"/>
  <c r="U158" i="6"/>
  <c r="H243" i="6"/>
  <c r="T159" i="6"/>
  <c r="T160" i="6"/>
  <c r="T153" i="6"/>
  <c r="T130" i="6"/>
  <c r="T131" i="6"/>
  <c r="T132" i="6"/>
  <c r="T140" i="6"/>
  <c r="T142" i="6"/>
  <c r="T144" i="6"/>
  <c r="T147" i="6"/>
  <c r="T157" i="6"/>
  <c r="T158" i="6"/>
  <c r="H242" i="6"/>
  <c r="G191" i="6"/>
  <c r="S160" i="6"/>
  <c r="S159" i="6"/>
  <c r="S153" i="6"/>
  <c r="S130" i="6"/>
  <c r="S131" i="6"/>
  <c r="S132" i="6"/>
  <c r="S140" i="6"/>
  <c r="S142" i="6"/>
  <c r="S144" i="6"/>
  <c r="S147" i="6"/>
  <c r="S157" i="6"/>
  <c r="S158" i="6"/>
  <c r="G192" i="6"/>
  <c r="D17" i="7" s="1"/>
  <c r="H241" i="6"/>
  <c r="R153" i="6"/>
  <c r="R160" i="6"/>
  <c r="R159" i="6"/>
  <c r="R130" i="6"/>
  <c r="R131" i="6"/>
  <c r="R132" i="6"/>
  <c r="R140" i="6"/>
  <c r="R142" i="6"/>
  <c r="R144" i="6"/>
  <c r="R147" i="6"/>
  <c r="R157" i="6"/>
  <c r="R158" i="6"/>
  <c r="H240" i="6"/>
  <c r="Q160" i="6"/>
  <c r="Q159" i="6"/>
  <c r="Q153" i="6"/>
  <c r="Q130" i="6"/>
  <c r="Q131" i="6"/>
  <c r="Q132" i="6"/>
  <c r="Q140" i="6"/>
  <c r="Q142" i="6"/>
  <c r="Q144" i="6"/>
  <c r="Q147" i="6"/>
  <c r="Q157" i="6"/>
  <c r="Q158" i="6"/>
  <c r="H239" i="6"/>
  <c r="P153" i="6"/>
  <c r="P160" i="6"/>
  <c r="P159" i="6"/>
  <c r="P130" i="6"/>
  <c r="P131" i="6"/>
  <c r="P132" i="6"/>
  <c r="P140" i="6"/>
  <c r="P142" i="6"/>
  <c r="P144" i="6"/>
  <c r="P147" i="6"/>
  <c r="P157" i="6"/>
  <c r="P158" i="6"/>
  <c r="H238" i="6"/>
  <c r="O153" i="6"/>
  <c r="O160" i="6"/>
  <c r="O159" i="6"/>
  <c r="O130" i="6"/>
  <c r="O131" i="6"/>
  <c r="O132" i="6"/>
  <c r="O140" i="6"/>
  <c r="O142" i="6"/>
  <c r="O144" i="6"/>
  <c r="O147" i="6"/>
  <c r="O157" i="6"/>
  <c r="O158" i="6"/>
  <c r="H237" i="6"/>
  <c r="N160" i="6"/>
  <c r="N159" i="6"/>
  <c r="N153" i="6"/>
  <c r="N130" i="6"/>
  <c r="N131" i="6"/>
  <c r="N132" i="6"/>
  <c r="N140" i="6"/>
  <c r="N142" i="6"/>
  <c r="N144" i="6"/>
  <c r="N147" i="6"/>
  <c r="N157" i="6"/>
  <c r="N158" i="6"/>
  <c r="H236" i="6"/>
  <c r="M160" i="6"/>
  <c r="M159" i="6"/>
  <c r="M153" i="6"/>
  <c r="M130" i="6"/>
  <c r="M131" i="6"/>
  <c r="M132" i="6"/>
  <c r="M140" i="6"/>
  <c r="M142" i="6"/>
  <c r="M144" i="6"/>
  <c r="M147" i="6"/>
  <c r="M157" i="6"/>
  <c r="M158" i="6"/>
  <c r="H235" i="6"/>
  <c r="F191" i="6"/>
  <c r="L160" i="6"/>
  <c r="L159" i="6"/>
  <c r="L153" i="6"/>
  <c r="L130" i="6"/>
  <c r="L131" i="6"/>
  <c r="L132" i="6"/>
  <c r="L140" i="6"/>
  <c r="L142" i="6"/>
  <c r="L144" i="6"/>
  <c r="L147" i="6"/>
  <c r="L157" i="6"/>
  <c r="L158" i="6"/>
  <c r="F192" i="6"/>
  <c r="D16" i="7" s="1"/>
  <c r="H234" i="6"/>
  <c r="K160" i="6"/>
  <c r="K159" i="6"/>
  <c r="K153" i="6"/>
  <c r="K130" i="6"/>
  <c r="K131" i="6"/>
  <c r="K132" i="6"/>
  <c r="K140" i="6"/>
  <c r="K142" i="6"/>
  <c r="K144" i="6"/>
  <c r="K147" i="6"/>
  <c r="K157" i="6"/>
  <c r="K158" i="6"/>
  <c r="H233" i="6"/>
  <c r="J159" i="6"/>
  <c r="J160" i="6"/>
  <c r="J153" i="6"/>
  <c r="J130" i="6"/>
  <c r="J131" i="6"/>
  <c r="J132" i="6"/>
  <c r="J140" i="6"/>
  <c r="J142" i="6"/>
  <c r="J144" i="6"/>
  <c r="J147" i="6"/>
  <c r="J157" i="6"/>
  <c r="J158" i="6"/>
  <c r="H232" i="6"/>
  <c r="I160" i="6"/>
  <c r="I159" i="6"/>
  <c r="I153" i="6"/>
  <c r="I130" i="6"/>
  <c r="I131" i="6"/>
  <c r="I132" i="6"/>
  <c r="I140" i="6"/>
  <c r="I142" i="6"/>
  <c r="I144" i="6"/>
  <c r="I147" i="6"/>
  <c r="I157" i="6"/>
  <c r="I158" i="6"/>
  <c r="H231" i="6"/>
  <c r="H153" i="6"/>
  <c r="H159" i="6"/>
  <c r="H160" i="6"/>
  <c r="H130" i="6"/>
  <c r="H131" i="6"/>
  <c r="H132" i="6"/>
  <c r="H140" i="6"/>
  <c r="H142" i="6"/>
  <c r="H144" i="6"/>
  <c r="H147" i="6"/>
  <c r="H157" i="6"/>
  <c r="H158" i="6"/>
  <c r="H230" i="6"/>
  <c r="G159" i="6"/>
  <c r="G160" i="6"/>
  <c r="G153" i="6"/>
  <c r="G130" i="6"/>
  <c r="G131" i="6"/>
  <c r="G132" i="6"/>
  <c r="G140" i="6"/>
  <c r="G142" i="6"/>
  <c r="G144" i="6"/>
  <c r="G147" i="6"/>
  <c r="G157" i="6"/>
  <c r="G158" i="6"/>
  <c r="H229" i="6"/>
  <c r="F160" i="6"/>
  <c r="F159" i="6"/>
  <c r="F153" i="6"/>
  <c r="F130" i="6"/>
  <c r="F131" i="6"/>
  <c r="F132" i="6"/>
  <c r="F140" i="6"/>
  <c r="F142" i="6"/>
  <c r="F144" i="6"/>
  <c r="F147" i="6"/>
  <c r="F157" i="6"/>
  <c r="F158" i="6"/>
  <c r="H228" i="6"/>
  <c r="E191" i="6"/>
  <c r="E160" i="6"/>
  <c r="E159" i="6"/>
  <c r="E153" i="6"/>
  <c r="E130" i="6"/>
  <c r="E131" i="6"/>
  <c r="E132" i="6"/>
  <c r="E140" i="6"/>
  <c r="E142" i="6"/>
  <c r="E144" i="6"/>
  <c r="E147" i="6"/>
  <c r="E157" i="6"/>
  <c r="E158" i="6"/>
  <c r="E192" i="6"/>
  <c r="D15" i="7" s="1"/>
  <c r="H227" i="6"/>
  <c r="E181" i="6"/>
  <c r="D205" i="6" s="1"/>
  <c r="D196" i="6"/>
  <c r="F14" i="7" s="1"/>
  <c r="F181" i="6"/>
  <c r="H181" i="6"/>
  <c r="J181" i="6"/>
  <c r="M181" i="6"/>
  <c r="O181" i="6"/>
  <c r="Y181" i="6"/>
  <c r="P181" i="6"/>
  <c r="X181" i="6"/>
  <c r="W181" i="6"/>
  <c r="V181" i="6"/>
  <c r="U181" i="6"/>
  <c r="T181" i="6"/>
  <c r="S181" i="6"/>
  <c r="R181" i="6"/>
  <c r="Q181" i="6"/>
  <c r="N181" i="6"/>
  <c r="L181" i="6"/>
  <c r="K181" i="6"/>
  <c r="I181" i="6"/>
  <c r="G181" i="6"/>
  <c r="Y144" i="5"/>
  <c r="Y137" i="5"/>
  <c r="Y114" i="5"/>
  <c r="Y115" i="5"/>
  <c r="Y116" i="5"/>
  <c r="Y124" i="5"/>
  <c r="Y126" i="5"/>
  <c r="Y128" i="5"/>
  <c r="Y131" i="5"/>
  <c r="Y141" i="5"/>
  <c r="Y142" i="5"/>
  <c r="Y143" i="5"/>
  <c r="H231" i="5"/>
  <c r="X137" i="5"/>
  <c r="X144" i="5"/>
  <c r="X114" i="5"/>
  <c r="X115" i="5"/>
  <c r="X116" i="5"/>
  <c r="X124" i="5"/>
  <c r="X126" i="5"/>
  <c r="X128" i="5"/>
  <c r="X131" i="5"/>
  <c r="X141" i="5"/>
  <c r="X142" i="5"/>
  <c r="X143" i="5"/>
  <c r="H230" i="5"/>
  <c r="W144" i="5"/>
  <c r="W137" i="5"/>
  <c r="W114" i="5"/>
  <c r="W115" i="5"/>
  <c r="W116" i="5"/>
  <c r="W124" i="5"/>
  <c r="W126" i="5"/>
  <c r="W128" i="5"/>
  <c r="W131" i="5"/>
  <c r="W141" i="5"/>
  <c r="W142" i="5"/>
  <c r="W143" i="5"/>
  <c r="H229" i="5"/>
  <c r="V144" i="5"/>
  <c r="V137" i="5"/>
  <c r="V114" i="5"/>
  <c r="V115" i="5"/>
  <c r="V116" i="5"/>
  <c r="V124" i="5"/>
  <c r="V126" i="5"/>
  <c r="V128" i="5"/>
  <c r="V131" i="5"/>
  <c r="V141" i="5"/>
  <c r="V142" i="5"/>
  <c r="V143" i="5"/>
  <c r="H228" i="5"/>
  <c r="U144" i="5"/>
  <c r="U137" i="5"/>
  <c r="U114" i="5"/>
  <c r="U115" i="5"/>
  <c r="U116" i="5"/>
  <c r="U124" i="5"/>
  <c r="U126" i="5"/>
  <c r="U128" i="5"/>
  <c r="U131" i="5"/>
  <c r="U141" i="5"/>
  <c r="U142" i="5"/>
  <c r="U143" i="5"/>
  <c r="H227" i="5"/>
  <c r="T144" i="5"/>
  <c r="T137" i="5"/>
  <c r="T114" i="5"/>
  <c r="T115" i="5"/>
  <c r="T116" i="5"/>
  <c r="T124" i="5"/>
  <c r="T126" i="5"/>
  <c r="T128" i="5"/>
  <c r="T131" i="5"/>
  <c r="T141" i="5"/>
  <c r="T142" i="5"/>
  <c r="T143" i="5"/>
  <c r="H226" i="5"/>
  <c r="S144" i="5"/>
  <c r="S137" i="5"/>
  <c r="S114" i="5"/>
  <c r="S115" i="5"/>
  <c r="S116" i="5"/>
  <c r="S124" i="5"/>
  <c r="S126" i="5"/>
  <c r="S128" i="5"/>
  <c r="S131" i="5"/>
  <c r="S141" i="5"/>
  <c r="S142" i="5"/>
  <c r="S143" i="5"/>
  <c r="H225" i="5"/>
  <c r="G176" i="5"/>
  <c r="D12" i="7" s="1"/>
  <c r="G175" i="5"/>
  <c r="R144" i="5"/>
  <c r="R137" i="5"/>
  <c r="R114" i="5"/>
  <c r="R115" i="5"/>
  <c r="R116" i="5"/>
  <c r="R124" i="5"/>
  <c r="R126" i="5"/>
  <c r="R128" i="5"/>
  <c r="R131" i="5"/>
  <c r="R141" i="5"/>
  <c r="R142" i="5"/>
  <c r="R143" i="5"/>
  <c r="H224" i="5"/>
  <c r="Q144" i="5"/>
  <c r="Q137" i="5"/>
  <c r="Q114" i="5"/>
  <c r="Q115" i="5"/>
  <c r="Q116" i="5"/>
  <c r="Q124" i="5"/>
  <c r="Q126" i="5"/>
  <c r="Q128" i="5"/>
  <c r="Q131" i="5"/>
  <c r="Q141" i="5"/>
  <c r="Q142" i="5"/>
  <c r="Q143" i="5"/>
  <c r="H223" i="5"/>
  <c r="P144" i="5"/>
  <c r="P137" i="5"/>
  <c r="P114" i="5"/>
  <c r="P115" i="5"/>
  <c r="P116" i="5"/>
  <c r="P124" i="5"/>
  <c r="P126" i="5"/>
  <c r="P128" i="5"/>
  <c r="P131" i="5"/>
  <c r="P141" i="5"/>
  <c r="P142" i="5"/>
  <c r="P143" i="5"/>
  <c r="H222" i="5"/>
  <c r="O144" i="5"/>
  <c r="O137" i="5"/>
  <c r="O114" i="5"/>
  <c r="O115" i="5"/>
  <c r="O116" i="5"/>
  <c r="O124" i="5"/>
  <c r="O126" i="5"/>
  <c r="O128" i="5"/>
  <c r="O131" i="5"/>
  <c r="O141" i="5"/>
  <c r="O142" i="5"/>
  <c r="O143" i="5"/>
  <c r="H221" i="5"/>
  <c r="N144" i="5"/>
  <c r="N137" i="5"/>
  <c r="N114" i="5"/>
  <c r="N115" i="5"/>
  <c r="N116" i="5"/>
  <c r="N124" i="5"/>
  <c r="N126" i="5"/>
  <c r="N128" i="5"/>
  <c r="N131" i="5"/>
  <c r="N141" i="5"/>
  <c r="N142" i="5"/>
  <c r="N143" i="5"/>
  <c r="H220" i="5"/>
  <c r="M137" i="5"/>
  <c r="M144" i="5"/>
  <c r="M114" i="5"/>
  <c r="M115" i="5"/>
  <c r="M116" i="5"/>
  <c r="M124" i="5"/>
  <c r="M126" i="5"/>
  <c r="M128" i="5"/>
  <c r="M131" i="5"/>
  <c r="M141" i="5"/>
  <c r="M142" i="5"/>
  <c r="M143" i="5"/>
  <c r="H219" i="5"/>
  <c r="L144" i="5"/>
  <c r="L137" i="5"/>
  <c r="L114" i="5"/>
  <c r="L115" i="5"/>
  <c r="L116" i="5"/>
  <c r="L124" i="5"/>
  <c r="L126" i="5"/>
  <c r="L128" i="5"/>
  <c r="L131" i="5"/>
  <c r="L141" i="5"/>
  <c r="L142" i="5"/>
  <c r="L143" i="5"/>
  <c r="F176" i="5"/>
  <c r="D11" i="7" s="1"/>
  <c r="H218" i="5"/>
  <c r="F175" i="5"/>
  <c r="K144" i="5"/>
  <c r="K137" i="5"/>
  <c r="K114" i="5"/>
  <c r="K115" i="5"/>
  <c r="K116" i="5"/>
  <c r="K124" i="5"/>
  <c r="K126" i="5"/>
  <c r="K128" i="5"/>
  <c r="K131" i="5"/>
  <c r="K141" i="5"/>
  <c r="K142" i="5"/>
  <c r="K143" i="5"/>
  <c r="H217" i="5"/>
  <c r="J144" i="5"/>
  <c r="J137" i="5"/>
  <c r="J114" i="5"/>
  <c r="J115" i="5"/>
  <c r="J116" i="5"/>
  <c r="J124" i="5"/>
  <c r="J126" i="5"/>
  <c r="J128" i="5"/>
  <c r="J131" i="5"/>
  <c r="J141" i="5"/>
  <c r="J142" i="5"/>
  <c r="J143" i="5"/>
  <c r="H216" i="5"/>
  <c r="I144" i="5"/>
  <c r="I137" i="5"/>
  <c r="I114" i="5"/>
  <c r="I115" i="5"/>
  <c r="I116" i="5"/>
  <c r="I124" i="5"/>
  <c r="I126" i="5"/>
  <c r="I128" i="5"/>
  <c r="I131" i="5"/>
  <c r="I141" i="5"/>
  <c r="I142" i="5"/>
  <c r="I143" i="5"/>
  <c r="H215" i="5"/>
  <c r="H144" i="5"/>
  <c r="H137" i="5"/>
  <c r="H131" i="5"/>
  <c r="H141" i="5"/>
  <c r="H142" i="5"/>
  <c r="H143" i="5"/>
  <c r="H214" i="5"/>
  <c r="H114" i="5"/>
  <c r="H115" i="5"/>
  <c r="H116" i="5"/>
  <c r="H124" i="5"/>
  <c r="H126" i="5"/>
  <c r="H128" i="5"/>
  <c r="G137" i="5"/>
  <c r="G144" i="5"/>
  <c r="G114" i="5"/>
  <c r="G115" i="5"/>
  <c r="G116" i="5"/>
  <c r="G124" i="5"/>
  <c r="G126" i="5"/>
  <c r="G128" i="5"/>
  <c r="G131" i="5"/>
  <c r="G141" i="5"/>
  <c r="G142" i="5"/>
  <c r="G143" i="5"/>
  <c r="H213" i="5"/>
  <c r="F144" i="5"/>
  <c r="F137" i="5"/>
  <c r="F131" i="5"/>
  <c r="F141" i="5"/>
  <c r="F142" i="5"/>
  <c r="F143" i="5"/>
  <c r="H212" i="5"/>
  <c r="F114" i="5"/>
  <c r="F115" i="5"/>
  <c r="F116" i="5"/>
  <c r="F124" i="5"/>
  <c r="F126" i="5"/>
  <c r="F128" i="5"/>
  <c r="E144" i="5"/>
  <c r="E137" i="5"/>
  <c r="E114" i="5"/>
  <c r="E115" i="5"/>
  <c r="E116" i="5"/>
  <c r="E124" i="5"/>
  <c r="E126" i="5"/>
  <c r="E128" i="5"/>
  <c r="E131" i="5"/>
  <c r="E141" i="5"/>
  <c r="E142" i="5"/>
  <c r="E143" i="5"/>
  <c r="H211" i="5"/>
  <c r="E176" i="5"/>
  <c r="D10" i="7" s="1"/>
  <c r="E175" i="5"/>
  <c r="V165" i="5"/>
  <c r="R165" i="5"/>
  <c r="D180" i="5"/>
  <c r="F9" i="7" s="1"/>
  <c r="E165" i="5"/>
  <c r="D189" i="5" s="1"/>
  <c r="W165" i="5"/>
  <c r="X165" i="5"/>
  <c r="Y165" i="5"/>
  <c r="F165" i="5"/>
  <c r="H165" i="5"/>
  <c r="Q165" i="5"/>
  <c r="T165" i="5"/>
  <c r="S165" i="5"/>
  <c r="U165" i="5"/>
  <c r="J165" i="5"/>
  <c r="L165" i="5"/>
  <c r="N165" i="5"/>
  <c r="G165" i="5"/>
  <c r="I165" i="5"/>
  <c r="K165" i="5"/>
  <c r="M165" i="5"/>
  <c r="O165" i="5"/>
  <c r="P165" i="5"/>
  <c r="Y144" i="4"/>
  <c r="Y137" i="4"/>
  <c r="Y114" i="4"/>
  <c r="Y116" i="4"/>
  <c r="Y124" i="4"/>
  <c r="Y126" i="4"/>
  <c r="Y128" i="4"/>
  <c r="Y131" i="4"/>
  <c r="Y115" i="4"/>
  <c r="Y141" i="4"/>
  <c r="Y142" i="4"/>
  <c r="Y143" i="4"/>
  <c r="H231" i="4"/>
  <c r="X144" i="4"/>
  <c r="X137" i="4"/>
  <c r="X114" i="4"/>
  <c r="X124" i="4"/>
  <c r="X126" i="4"/>
  <c r="X128" i="4"/>
  <c r="X131" i="4"/>
  <c r="X115" i="4"/>
  <c r="X116" i="4"/>
  <c r="X141" i="4"/>
  <c r="X142" i="4"/>
  <c r="X143" i="4"/>
  <c r="H230" i="4"/>
  <c r="W144" i="4"/>
  <c r="W137" i="4"/>
  <c r="W116" i="4"/>
  <c r="W124" i="4"/>
  <c r="W126" i="4"/>
  <c r="W128" i="4"/>
  <c r="W131" i="4"/>
  <c r="W114" i="4"/>
  <c r="W115" i="4"/>
  <c r="W141" i="4"/>
  <c r="W142" i="4"/>
  <c r="W143" i="4"/>
  <c r="H229" i="4"/>
  <c r="V144" i="4"/>
  <c r="V137" i="4"/>
  <c r="V114" i="4"/>
  <c r="V115" i="4"/>
  <c r="V116" i="4"/>
  <c r="V124" i="4"/>
  <c r="V126" i="4"/>
  <c r="V128" i="4"/>
  <c r="V131" i="4"/>
  <c r="V141" i="4"/>
  <c r="V142" i="4"/>
  <c r="V143" i="4"/>
  <c r="H228" i="4"/>
  <c r="U144" i="4"/>
  <c r="U137" i="4"/>
  <c r="U116" i="4"/>
  <c r="U124" i="4"/>
  <c r="U126" i="4"/>
  <c r="U128" i="4"/>
  <c r="U131" i="4"/>
  <c r="U114" i="4"/>
  <c r="U115" i="4"/>
  <c r="U141" i="4"/>
  <c r="U142" i="4"/>
  <c r="U143" i="4"/>
  <c r="H227" i="4"/>
  <c r="T144" i="4"/>
  <c r="T137" i="4"/>
  <c r="T114" i="4"/>
  <c r="T115" i="4"/>
  <c r="T124" i="4"/>
  <c r="T126" i="4"/>
  <c r="T128" i="4"/>
  <c r="T131" i="4"/>
  <c r="T116" i="4"/>
  <c r="T141" i="4"/>
  <c r="T142" i="4"/>
  <c r="T143" i="4"/>
  <c r="H226" i="4"/>
  <c r="S144" i="4"/>
  <c r="S137" i="4"/>
  <c r="S116" i="4"/>
  <c r="S124" i="4"/>
  <c r="S126" i="4"/>
  <c r="S128" i="4"/>
  <c r="S131" i="4"/>
  <c r="S114" i="4"/>
  <c r="S115" i="4"/>
  <c r="S141" i="4"/>
  <c r="S142" i="4"/>
  <c r="S143" i="4"/>
  <c r="G176" i="4"/>
  <c r="D7" i="7" s="1"/>
  <c r="H225" i="4"/>
  <c r="G175" i="4"/>
  <c r="R144" i="4"/>
  <c r="R137" i="4"/>
  <c r="R114" i="4"/>
  <c r="R115" i="4"/>
  <c r="R124" i="4"/>
  <c r="R126" i="4"/>
  <c r="R128" i="4"/>
  <c r="R131" i="4"/>
  <c r="R116" i="4"/>
  <c r="R141" i="4"/>
  <c r="R142" i="4"/>
  <c r="R143" i="4"/>
  <c r="H224" i="4"/>
  <c r="Q144" i="4"/>
  <c r="Q137" i="4"/>
  <c r="Q124" i="4"/>
  <c r="Q126" i="4"/>
  <c r="Q128" i="4"/>
  <c r="Q131" i="4"/>
  <c r="Q114" i="4"/>
  <c r="Q115" i="4"/>
  <c r="Q116" i="4"/>
  <c r="Q141" i="4"/>
  <c r="Q142" i="4"/>
  <c r="Q143" i="4"/>
  <c r="H223" i="4"/>
  <c r="P144" i="4"/>
  <c r="P137" i="4"/>
  <c r="P114" i="4"/>
  <c r="P116" i="4"/>
  <c r="P124" i="4"/>
  <c r="P126" i="4"/>
  <c r="P128" i="4"/>
  <c r="P131" i="4"/>
  <c r="P115" i="4"/>
  <c r="P141" i="4"/>
  <c r="P142" i="4"/>
  <c r="P143" i="4"/>
  <c r="H222" i="4"/>
  <c r="O144" i="4"/>
  <c r="O137" i="4"/>
  <c r="O114" i="4"/>
  <c r="O115" i="4"/>
  <c r="O124" i="4"/>
  <c r="O126" i="4"/>
  <c r="O128" i="4"/>
  <c r="O131" i="4"/>
  <c r="O116" i="4"/>
  <c r="O141" i="4"/>
  <c r="O142" i="4"/>
  <c r="O143" i="4"/>
  <c r="H221" i="4"/>
  <c r="N144" i="4"/>
  <c r="N137" i="4"/>
  <c r="N114" i="4"/>
  <c r="N124" i="4"/>
  <c r="N126" i="4"/>
  <c r="N128" i="4"/>
  <c r="N131" i="4"/>
  <c r="N115" i="4"/>
  <c r="N116" i="4"/>
  <c r="N141" i="4"/>
  <c r="N142" i="4"/>
  <c r="N143" i="4"/>
  <c r="H220" i="4"/>
  <c r="M144" i="4"/>
  <c r="M137" i="4"/>
  <c r="M114" i="4"/>
  <c r="M115" i="4"/>
  <c r="M116" i="4"/>
  <c r="M124" i="4"/>
  <c r="M126" i="4"/>
  <c r="M128" i="4"/>
  <c r="M131" i="4"/>
  <c r="M141" i="4"/>
  <c r="M142" i="4"/>
  <c r="M143" i="4"/>
  <c r="H219" i="4"/>
  <c r="L144" i="4"/>
  <c r="L137" i="4"/>
  <c r="L114" i="4"/>
  <c r="L124" i="4"/>
  <c r="L126" i="4"/>
  <c r="L128" i="4"/>
  <c r="L131" i="4"/>
  <c r="L115" i="4"/>
  <c r="L116" i="4"/>
  <c r="L141" i="4"/>
  <c r="L142" i="4"/>
  <c r="L143" i="4"/>
  <c r="F176" i="4"/>
  <c r="D6" i="7" s="1"/>
  <c r="H218" i="4"/>
  <c r="F175" i="4"/>
  <c r="K144" i="4"/>
  <c r="K137" i="4"/>
  <c r="K114" i="4"/>
  <c r="K115" i="4"/>
  <c r="K116" i="4"/>
  <c r="K124" i="4"/>
  <c r="K126" i="4"/>
  <c r="K128" i="4"/>
  <c r="K131" i="4"/>
  <c r="K141" i="4"/>
  <c r="K142" i="4"/>
  <c r="K143" i="4"/>
  <c r="H217" i="4"/>
  <c r="J144" i="4"/>
  <c r="J137" i="4"/>
  <c r="J114" i="4"/>
  <c r="J124" i="4"/>
  <c r="J126" i="4"/>
  <c r="J128" i="4"/>
  <c r="J131" i="4"/>
  <c r="J115" i="4"/>
  <c r="J116" i="4"/>
  <c r="J141" i="4"/>
  <c r="J142" i="4"/>
  <c r="J143" i="4"/>
  <c r="H216" i="4"/>
  <c r="I144" i="4"/>
  <c r="I137" i="4"/>
  <c r="I114" i="4"/>
  <c r="I116" i="4"/>
  <c r="I124" i="4"/>
  <c r="I126" i="4"/>
  <c r="I128" i="4"/>
  <c r="I131" i="4"/>
  <c r="I115" i="4"/>
  <c r="I141" i="4"/>
  <c r="I142" i="4"/>
  <c r="I143" i="4"/>
  <c r="H215" i="4"/>
  <c r="H144" i="4"/>
  <c r="H137" i="4"/>
  <c r="H114" i="4"/>
  <c r="H115" i="4"/>
  <c r="H116" i="4"/>
  <c r="H124" i="4"/>
  <c r="H126" i="4"/>
  <c r="H128" i="4"/>
  <c r="H131" i="4"/>
  <c r="H141" i="4"/>
  <c r="H142" i="4"/>
  <c r="H143" i="4"/>
  <c r="H214" i="4"/>
  <c r="G144" i="4"/>
  <c r="G137" i="4"/>
  <c r="G114" i="4"/>
  <c r="G124" i="4"/>
  <c r="G126" i="4"/>
  <c r="G128" i="4"/>
  <c r="G131" i="4"/>
  <c r="G115" i="4"/>
  <c r="G116" i="4"/>
  <c r="G141" i="4"/>
  <c r="G142" i="4"/>
  <c r="G143" i="4"/>
  <c r="H213" i="4"/>
  <c r="F144" i="4"/>
  <c r="F137" i="4"/>
  <c r="F114" i="4"/>
  <c r="F115" i="4"/>
  <c r="F124" i="4"/>
  <c r="F126" i="4"/>
  <c r="F128" i="4"/>
  <c r="F131" i="4"/>
  <c r="F116" i="4"/>
  <c r="F141" i="4"/>
  <c r="F142" i="4"/>
  <c r="F143" i="4"/>
  <c r="H212" i="4"/>
  <c r="E144" i="4"/>
  <c r="E137" i="4"/>
  <c r="E114" i="4"/>
  <c r="E116" i="4"/>
  <c r="E124" i="4"/>
  <c r="E130" i="4" s="1"/>
  <c r="E126" i="4"/>
  <c r="E128" i="4"/>
  <c r="E131" i="4"/>
  <c r="E115" i="4"/>
  <c r="E141" i="4"/>
  <c r="E142" i="4"/>
  <c r="E143" i="4"/>
  <c r="E176" i="4"/>
  <c r="D5" i="7" s="1"/>
  <c r="H211" i="4"/>
  <c r="E175" i="4"/>
  <c r="L165" i="4"/>
  <c r="Y165" i="4"/>
  <c r="I165" i="4"/>
  <c r="H165" i="4"/>
  <c r="G165" i="4"/>
  <c r="F165" i="4"/>
  <c r="E165" i="4"/>
  <c r="D189" i="4" s="1"/>
  <c r="D180" i="4"/>
  <c r="F4" i="7" s="1"/>
  <c r="M165" i="4"/>
  <c r="N165" i="4"/>
  <c r="O165" i="4"/>
  <c r="P165" i="4"/>
  <c r="J165" i="4"/>
  <c r="K165" i="4"/>
  <c r="Q165" i="4"/>
  <c r="R165" i="4"/>
  <c r="S165" i="4"/>
  <c r="T165" i="4"/>
  <c r="U165" i="4"/>
  <c r="V165" i="4"/>
  <c r="W165" i="4"/>
  <c r="X165" i="4"/>
  <c r="G199" i="6"/>
  <c r="S169" i="6"/>
  <c r="F199" i="6"/>
  <c r="L169" i="6"/>
  <c r="E199" i="6"/>
  <c r="E169" i="6"/>
  <c r="Y133" i="6" l="1"/>
  <c r="Y134" i="6" s="1"/>
  <c r="Y141" i="6"/>
  <c r="Y156" i="6"/>
  <c r="Y154" i="6"/>
  <c r="Y155" i="6"/>
  <c r="Y143" i="6"/>
  <c r="Y145" i="6"/>
  <c r="Y146" i="6"/>
  <c r="Y148" i="6"/>
  <c r="Y177" i="6"/>
  <c r="X133" i="6"/>
  <c r="X134" i="6" s="1"/>
  <c r="X141" i="6"/>
  <c r="X155" i="6"/>
  <c r="X154" i="6"/>
  <c r="X156" i="6"/>
  <c r="X143" i="6"/>
  <c r="X145" i="6"/>
  <c r="X146" i="6"/>
  <c r="X148" i="6"/>
  <c r="X177" i="6"/>
  <c r="W133" i="6"/>
  <c r="W134" i="6" s="1"/>
  <c r="W141" i="6"/>
  <c r="W154" i="6"/>
  <c r="W156" i="6"/>
  <c r="W155" i="6"/>
  <c r="W143" i="6"/>
  <c r="W145" i="6"/>
  <c r="W146" i="6"/>
  <c r="W148" i="6"/>
  <c r="W177" i="6"/>
  <c r="V133" i="6"/>
  <c r="V134" i="6" s="1"/>
  <c r="V141" i="6"/>
  <c r="V155" i="6"/>
  <c r="V154" i="6"/>
  <c r="V156" i="6"/>
  <c r="V143" i="6"/>
  <c r="V145" i="6"/>
  <c r="V146" i="6"/>
  <c r="V148" i="6"/>
  <c r="V177" i="6"/>
  <c r="U133" i="6"/>
  <c r="U134" i="6" s="1"/>
  <c r="U141" i="6"/>
  <c r="U154" i="6"/>
  <c r="U156" i="6"/>
  <c r="U155" i="6"/>
  <c r="U143" i="6"/>
  <c r="U145" i="6"/>
  <c r="U146" i="6"/>
  <c r="U148" i="6"/>
  <c r="U177" i="6"/>
  <c r="T133" i="6"/>
  <c r="T134" i="6" s="1"/>
  <c r="T141" i="6"/>
  <c r="T154" i="6"/>
  <c r="T155" i="6"/>
  <c r="T156" i="6"/>
  <c r="T143" i="6"/>
  <c r="T145" i="6"/>
  <c r="T146" i="6"/>
  <c r="T148" i="6" s="1"/>
  <c r="T177" i="6"/>
  <c r="S133" i="6"/>
  <c r="S134" i="6" s="1"/>
  <c r="S141" i="6"/>
  <c r="G193" i="6"/>
  <c r="S155" i="6"/>
  <c r="S156" i="6"/>
  <c r="S154" i="6"/>
  <c r="S143" i="6"/>
  <c r="S145" i="6"/>
  <c r="S146" i="6"/>
  <c r="S177" i="6"/>
  <c r="R133" i="6"/>
  <c r="R134" i="6" s="1"/>
  <c r="R141" i="6"/>
  <c r="R156" i="6"/>
  <c r="R155" i="6"/>
  <c r="R154" i="6"/>
  <c r="R143" i="6"/>
  <c r="R145" i="6"/>
  <c r="R146" i="6"/>
  <c r="R148" i="6" s="1"/>
  <c r="R177" i="6"/>
  <c r="Q133" i="6"/>
  <c r="Q134" i="6" s="1"/>
  <c r="Q141" i="6"/>
  <c r="Q155" i="6"/>
  <c r="Q156" i="6"/>
  <c r="Q154" i="6"/>
  <c r="Q143" i="6"/>
  <c r="Q145" i="6"/>
  <c r="Q146" i="6"/>
  <c r="Q148" i="6" s="1"/>
  <c r="Q177" i="6"/>
  <c r="P133" i="6"/>
  <c r="P134" i="6" s="1"/>
  <c r="P141" i="6"/>
  <c r="P154" i="6"/>
  <c r="P156" i="6"/>
  <c r="P155" i="6"/>
  <c r="P143" i="6"/>
  <c r="P145" i="6"/>
  <c r="P146" i="6"/>
  <c r="P177" i="6"/>
  <c r="O133" i="6"/>
  <c r="O134" i="6" s="1"/>
  <c r="O141" i="6"/>
  <c r="O156" i="6"/>
  <c r="O154" i="6"/>
  <c r="O155" i="6"/>
  <c r="O143" i="6"/>
  <c r="O145" i="6"/>
  <c r="O146" i="6"/>
  <c r="O148" i="6" s="1"/>
  <c r="O177" i="6"/>
  <c r="N133" i="6"/>
  <c r="N134" i="6" s="1"/>
  <c r="N141" i="6"/>
  <c r="N154" i="6"/>
  <c r="N155" i="6"/>
  <c r="N156" i="6"/>
  <c r="N143" i="6"/>
  <c r="N145" i="6"/>
  <c r="N146" i="6"/>
  <c r="N148" i="6" s="1"/>
  <c r="N177" i="6"/>
  <c r="M133" i="6"/>
  <c r="M134" i="6" s="1"/>
  <c r="M141" i="6"/>
  <c r="M155" i="6"/>
  <c r="M154" i="6"/>
  <c r="M156" i="6"/>
  <c r="M143" i="6"/>
  <c r="M145" i="6"/>
  <c r="M146" i="6"/>
  <c r="M177" i="6"/>
  <c r="L133" i="6"/>
  <c r="L134" i="6" s="1"/>
  <c r="L141" i="6"/>
  <c r="F193" i="6"/>
  <c r="L154" i="6"/>
  <c r="L156" i="6"/>
  <c r="L155" i="6"/>
  <c r="L143" i="6"/>
  <c r="L145" i="6"/>
  <c r="L146" i="6"/>
  <c r="L148" i="6"/>
  <c r="L177" i="6"/>
  <c r="K133" i="6"/>
  <c r="K134" i="6" s="1"/>
  <c r="K141" i="6"/>
  <c r="K154" i="6"/>
  <c r="K155" i="6"/>
  <c r="K156" i="6"/>
  <c r="K143" i="6"/>
  <c r="K145" i="6"/>
  <c r="K146" i="6"/>
  <c r="K148" i="6" s="1"/>
  <c r="K177" i="6"/>
  <c r="J133" i="6"/>
  <c r="J134" i="6" s="1"/>
  <c r="J141" i="6"/>
  <c r="J154" i="6"/>
  <c r="J156" i="6"/>
  <c r="J155" i="6"/>
  <c r="J143" i="6"/>
  <c r="J145" i="6"/>
  <c r="J146" i="6"/>
  <c r="J148" i="6" s="1"/>
  <c r="J177" i="6"/>
  <c r="I133" i="6"/>
  <c r="I134" i="6" s="1"/>
  <c r="I141" i="6"/>
  <c r="I154" i="6"/>
  <c r="I156" i="6"/>
  <c r="I155" i="6"/>
  <c r="I143" i="6"/>
  <c r="I145" i="6"/>
  <c r="I146" i="6"/>
  <c r="I148" i="6"/>
  <c r="I177" i="6"/>
  <c r="H133" i="6"/>
  <c r="H134" i="6" s="1"/>
  <c r="H141" i="6"/>
  <c r="H156" i="6"/>
  <c r="H154" i="6"/>
  <c r="H155" i="6"/>
  <c r="H143" i="6"/>
  <c r="H145" i="6"/>
  <c r="H146" i="6"/>
  <c r="H148" i="6" s="1"/>
  <c r="H177" i="6"/>
  <c r="G133" i="6"/>
  <c r="G134" i="6" s="1"/>
  <c r="G141" i="6"/>
  <c r="G154" i="6"/>
  <c r="G156" i="6"/>
  <c r="G155" i="6"/>
  <c r="G143" i="6"/>
  <c r="G145" i="6"/>
  <c r="G146" i="6"/>
  <c r="G177" i="6"/>
  <c r="F133" i="6"/>
  <c r="F134" i="6" s="1"/>
  <c r="F141" i="6"/>
  <c r="F155" i="6"/>
  <c r="F154" i="6"/>
  <c r="F156" i="6"/>
  <c r="F143" i="6"/>
  <c r="F145" i="6"/>
  <c r="F146" i="6"/>
  <c r="F177" i="6"/>
  <c r="E133" i="6"/>
  <c r="E134" i="6" s="1"/>
  <c r="E141" i="6"/>
  <c r="E193" i="6"/>
  <c r="E154" i="6"/>
  <c r="E156" i="6"/>
  <c r="E155" i="6"/>
  <c r="E143" i="6"/>
  <c r="E145" i="6"/>
  <c r="E146" i="6"/>
  <c r="E148" i="6" s="1"/>
  <c r="E177" i="6"/>
  <c r="Y125" i="5"/>
  <c r="Y117" i="5"/>
  <c r="Y118" i="5" s="1"/>
  <c r="Y138" i="5"/>
  <c r="Y140" i="5"/>
  <c r="Y139" i="5"/>
  <c r="Y127" i="5"/>
  <c r="Y129" i="5"/>
  <c r="Y130" i="5"/>
  <c r="Y132" i="5" s="1"/>
  <c r="Y161" i="5"/>
  <c r="X117" i="5"/>
  <c r="X118" i="5" s="1"/>
  <c r="X125" i="5"/>
  <c r="X138" i="5"/>
  <c r="X139" i="5"/>
  <c r="X140" i="5"/>
  <c r="X127" i="5"/>
  <c r="X129" i="5"/>
  <c r="X130" i="5"/>
  <c r="X132" i="5" s="1"/>
  <c r="X161" i="5"/>
  <c r="W117" i="5"/>
  <c r="W118" i="5" s="1"/>
  <c r="W125" i="5"/>
  <c r="W139" i="5"/>
  <c r="W138" i="5"/>
  <c r="W140" i="5"/>
  <c r="W127" i="5"/>
  <c r="W129" i="5"/>
  <c r="W130" i="5"/>
  <c r="W132" i="5" s="1"/>
  <c r="W161" i="5"/>
  <c r="V125" i="5"/>
  <c r="V117" i="5"/>
  <c r="V118" i="5" s="1"/>
  <c r="V138" i="5"/>
  <c r="V139" i="5"/>
  <c r="V140" i="5"/>
  <c r="V127" i="5"/>
  <c r="V129" i="5"/>
  <c r="V130" i="5"/>
  <c r="V132" i="5" s="1"/>
  <c r="V161" i="5"/>
  <c r="U125" i="5"/>
  <c r="U117" i="5"/>
  <c r="U118" i="5" s="1"/>
  <c r="U139" i="5"/>
  <c r="U138" i="5"/>
  <c r="U140" i="5"/>
  <c r="U127" i="5"/>
  <c r="U129" i="5"/>
  <c r="U130" i="5"/>
  <c r="U161" i="5"/>
  <c r="T117" i="5"/>
  <c r="T118" i="5" s="1"/>
  <c r="T125" i="5"/>
  <c r="T140" i="5"/>
  <c r="T138" i="5"/>
  <c r="T139" i="5"/>
  <c r="T127" i="5"/>
  <c r="T129" i="5"/>
  <c r="T130" i="5"/>
  <c r="T132" i="5"/>
  <c r="T161" i="5"/>
  <c r="S125" i="5"/>
  <c r="S117" i="5"/>
  <c r="S118" i="5" s="1"/>
  <c r="G177" i="5"/>
  <c r="S140" i="5"/>
  <c r="S138" i="5"/>
  <c r="S139" i="5"/>
  <c r="S127" i="5"/>
  <c r="S129" i="5"/>
  <c r="S130" i="5"/>
  <c r="S132" i="5" s="1"/>
  <c r="S161" i="5"/>
  <c r="R125" i="5"/>
  <c r="R117" i="5"/>
  <c r="R118" i="5" s="1"/>
  <c r="R140" i="5"/>
  <c r="R138" i="5"/>
  <c r="R139" i="5"/>
  <c r="R127" i="5"/>
  <c r="R129" i="5"/>
  <c r="R130" i="5"/>
  <c r="R161" i="5"/>
  <c r="Q125" i="5"/>
  <c r="Q117" i="5"/>
  <c r="Q118" i="5" s="1"/>
  <c r="Q138" i="5"/>
  <c r="Q140" i="5"/>
  <c r="Q139" i="5"/>
  <c r="Q127" i="5"/>
  <c r="Q129" i="5"/>
  <c r="Q130" i="5"/>
  <c r="Q132" i="5" s="1"/>
  <c r="Q161" i="5"/>
  <c r="P125" i="5"/>
  <c r="P117" i="5"/>
  <c r="P118" i="5" s="1"/>
  <c r="P138" i="5"/>
  <c r="P140" i="5"/>
  <c r="P139" i="5"/>
  <c r="P127" i="5"/>
  <c r="P129" i="5"/>
  <c r="P130" i="5"/>
  <c r="P161" i="5"/>
  <c r="O125" i="5"/>
  <c r="O117" i="5"/>
  <c r="O118" i="5" s="1"/>
  <c r="O139" i="5"/>
  <c r="O140" i="5"/>
  <c r="O138" i="5"/>
  <c r="O127" i="5"/>
  <c r="O129" i="5"/>
  <c r="O130" i="5"/>
  <c r="O161" i="5"/>
  <c r="N125" i="5"/>
  <c r="N117" i="5"/>
  <c r="N118" i="5" s="1"/>
  <c r="N139" i="5"/>
  <c r="N140" i="5"/>
  <c r="N138" i="5"/>
  <c r="N127" i="5"/>
  <c r="N129" i="5"/>
  <c r="N130" i="5"/>
  <c r="N132" i="5" s="1"/>
  <c r="N161" i="5"/>
  <c r="M125" i="5"/>
  <c r="M117" i="5"/>
  <c r="M118" i="5" s="1"/>
  <c r="M140" i="5"/>
  <c r="M139" i="5"/>
  <c r="M138" i="5"/>
  <c r="M127" i="5"/>
  <c r="M129" i="5"/>
  <c r="M130" i="5"/>
  <c r="M132" i="5" s="1"/>
  <c r="M161" i="5"/>
  <c r="L125" i="5"/>
  <c r="L117" i="5"/>
  <c r="L118" i="5" s="1"/>
  <c r="F177" i="5"/>
  <c r="L140" i="5"/>
  <c r="L139" i="5"/>
  <c r="L138" i="5"/>
  <c r="L127" i="5"/>
  <c r="L129" i="5"/>
  <c r="L130" i="5"/>
  <c r="L132" i="5" s="1"/>
  <c r="L161" i="5"/>
  <c r="K125" i="5"/>
  <c r="K117" i="5"/>
  <c r="K118" i="5" s="1"/>
  <c r="K139" i="5"/>
  <c r="K138" i="5"/>
  <c r="K140" i="5"/>
  <c r="K127" i="5"/>
  <c r="K129" i="5"/>
  <c r="K130" i="5"/>
  <c r="K132" i="5" s="1"/>
  <c r="K161" i="5"/>
  <c r="J117" i="5"/>
  <c r="J118" i="5" s="1"/>
  <c r="J125" i="5"/>
  <c r="J139" i="5"/>
  <c r="J140" i="5"/>
  <c r="J138" i="5"/>
  <c r="J127" i="5"/>
  <c r="J129" i="5"/>
  <c r="J130" i="5"/>
  <c r="J132" i="5" s="1"/>
  <c r="J161" i="5"/>
  <c r="I117" i="5"/>
  <c r="I118" i="5" s="1"/>
  <c r="I125" i="5"/>
  <c r="I139" i="5"/>
  <c r="I140" i="5"/>
  <c r="I138" i="5"/>
  <c r="I127" i="5"/>
  <c r="I129" i="5"/>
  <c r="I130" i="5"/>
  <c r="I161" i="5"/>
  <c r="H117" i="5"/>
  <c r="H118" i="5" s="1"/>
  <c r="H125" i="5"/>
  <c r="H139" i="5"/>
  <c r="H140" i="5"/>
  <c r="H138" i="5"/>
  <c r="H127" i="5"/>
  <c r="H129" i="5"/>
  <c r="H130" i="5"/>
  <c r="H132" i="5" s="1"/>
  <c r="H161" i="5"/>
  <c r="G117" i="5"/>
  <c r="G118" i="5" s="1"/>
  <c r="G125" i="5"/>
  <c r="G138" i="5"/>
  <c r="G139" i="5"/>
  <c r="G140" i="5"/>
  <c r="G127" i="5"/>
  <c r="G129" i="5"/>
  <c r="G130" i="5"/>
  <c r="G132" i="5" s="1"/>
  <c r="G161" i="5"/>
  <c r="F117" i="5"/>
  <c r="F118" i="5" s="1"/>
  <c r="F125" i="5"/>
  <c r="F140" i="5"/>
  <c r="F139" i="5"/>
  <c r="F138" i="5"/>
  <c r="F127" i="5"/>
  <c r="F129" i="5"/>
  <c r="F130" i="5"/>
  <c r="F132" i="5"/>
  <c r="F161" i="5"/>
  <c r="E117" i="5"/>
  <c r="E118" i="5" s="1"/>
  <c r="E125" i="5"/>
  <c r="E177" i="5"/>
  <c r="E140" i="5"/>
  <c r="E139" i="5"/>
  <c r="E138" i="5"/>
  <c r="E127" i="5"/>
  <c r="E129" i="5"/>
  <c r="E130" i="5"/>
  <c r="E132" i="5"/>
  <c r="E161" i="5"/>
  <c r="Y117" i="4"/>
  <c r="Y118" i="4" s="1"/>
  <c r="Y125" i="4"/>
  <c r="Y139" i="4"/>
  <c r="Y138" i="4"/>
  <c r="Y140" i="4"/>
  <c r="Y127" i="4"/>
  <c r="Y129" i="4"/>
  <c r="Y130" i="4"/>
  <c r="Y132" i="4" s="1"/>
  <c r="Y161" i="4"/>
  <c r="X117" i="4"/>
  <c r="X118" i="4" s="1"/>
  <c r="X125" i="4"/>
  <c r="X140" i="4"/>
  <c r="X138" i="4"/>
  <c r="X139" i="4"/>
  <c r="X127" i="4"/>
  <c r="X129" i="4"/>
  <c r="X130" i="4"/>
  <c r="X132" i="4" s="1"/>
  <c r="X161" i="4"/>
  <c r="W140" i="4"/>
  <c r="W138" i="4"/>
  <c r="W139" i="4"/>
  <c r="W127" i="4"/>
  <c r="W129" i="4"/>
  <c r="W130" i="4"/>
  <c r="W161" i="4"/>
  <c r="W117" i="4"/>
  <c r="W118" i="4" s="1"/>
  <c r="W125" i="4"/>
  <c r="V117" i="4"/>
  <c r="V118" i="4" s="1"/>
  <c r="V125" i="4"/>
  <c r="V139" i="4"/>
  <c r="V140" i="4"/>
  <c r="V138" i="4"/>
  <c r="V127" i="4"/>
  <c r="V129" i="4"/>
  <c r="V130" i="4"/>
  <c r="V132" i="4" s="1"/>
  <c r="V161" i="4"/>
  <c r="U140" i="4"/>
  <c r="U138" i="4"/>
  <c r="U139" i="4"/>
  <c r="U127" i="4"/>
  <c r="U129" i="4"/>
  <c r="U130" i="4"/>
  <c r="U161" i="4"/>
  <c r="U117" i="4"/>
  <c r="U118" i="4" s="1"/>
  <c r="U125" i="4"/>
  <c r="U132" i="4" s="1"/>
  <c r="T117" i="4"/>
  <c r="T118" i="4" s="1"/>
  <c r="T125" i="4"/>
  <c r="T138" i="4"/>
  <c r="T140" i="4"/>
  <c r="T139" i="4"/>
  <c r="T127" i="4"/>
  <c r="T129" i="4"/>
  <c r="T130" i="4"/>
  <c r="T132" i="4" s="1"/>
  <c r="T161" i="4"/>
  <c r="S138" i="4"/>
  <c r="S139" i="4"/>
  <c r="S140" i="4"/>
  <c r="S127" i="4"/>
  <c r="S129" i="4"/>
  <c r="S130" i="4"/>
  <c r="S161" i="4"/>
  <c r="G177" i="4"/>
  <c r="S117" i="4"/>
  <c r="S118" i="4" s="1"/>
  <c r="S125" i="4"/>
  <c r="S132" i="4" s="1"/>
  <c r="R117" i="4"/>
  <c r="R118" i="4" s="1"/>
  <c r="R125" i="4"/>
  <c r="R140" i="4"/>
  <c r="R138" i="4"/>
  <c r="R139" i="4"/>
  <c r="R127" i="4"/>
  <c r="R129" i="4"/>
  <c r="R130" i="4"/>
  <c r="R132" i="4" s="1"/>
  <c r="R161" i="4"/>
  <c r="Q138" i="4"/>
  <c r="Q139" i="4"/>
  <c r="Q140" i="4"/>
  <c r="Q127" i="4"/>
  <c r="Q129" i="4"/>
  <c r="Q130" i="4"/>
  <c r="Q161" i="4"/>
  <c r="Q117" i="4"/>
  <c r="Q118" i="4" s="1"/>
  <c r="Q125" i="4"/>
  <c r="P117" i="4"/>
  <c r="P118" i="4" s="1"/>
  <c r="P125" i="4"/>
  <c r="P140" i="4"/>
  <c r="P139" i="4"/>
  <c r="P138" i="4"/>
  <c r="P127" i="4"/>
  <c r="P129" i="4"/>
  <c r="P130" i="4"/>
  <c r="P132" i="4" s="1"/>
  <c r="P161" i="4"/>
  <c r="O117" i="4"/>
  <c r="O118" i="4" s="1"/>
  <c r="O125" i="4"/>
  <c r="O139" i="4"/>
  <c r="O138" i="4"/>
  <c r="O140" i="4"/>
  <c r="O127" i="4"/>
  <c r="O129" i="4"/>
  <c r="O130" i="4"/>
  <c r="O132" i="4" s="1"/>
  <c r="O161" i="4"/>
  <c r="N117" i="4"/>
  <c r="N118" i="4" s="1"/>
  <c r="N125" i="4"/>
  <c r="N138" i="4"/>
  <c r="N140" i="4"/>
  <c r="N139" i="4"/>
  <c r="N127" i="4"/>
  <c r="N129" i="4"/>
  <c r="N130" i="4"/>
  <c r="N132" i="4" s="1"/>
  <c r="N161" i="4"/>
  <c r="M117" i="4"/>
  <c r="M118" i="4" s="1"/>
  <c r="M125" i="4"/>
  <c r="M140" i="4"/>
  <c r="M139" i="4"/>
  <c r="M138" i="4"/>
  <c r="M127" i="4"/>
  <c r="M129" i="4"/>
  <c r="M130" i="4"/>
  <c r="M132" i="4" s="1"/>
  <c r="M161" i="4"/>
  <c r="L117" i="4"/>
  <c r="L118" i="4" s="1"/>
  <c r="L125" i="4"/>
  <c r="F177" i="4"/>
  <c r="L138" i="4"/>
  <c r="L140" i="4"/>
  <c r="L139" i="4"/>
  <c r="L127" i="4"/>
  <c r="L129" i="4"/>
  <c r="L130" i="4"/>
  <c r="L132" i="4" s="1"/>
  <c r="L161" i="4"/>
  <c r="K117" i="4"/>
  <c r="K118" i="4" s="1"/>
  <c r="K125" i="4"/>
  <c r="K139" i="4"/>
  <c r="K140" i="4"/>
  <c r="K138" i="4"/>
  <c r="K127" i="4"/>
  <c r="K129" i="4"/>
  <c r="K130" i="4"/>
  <c r="K161" i="4"/>
  <c r="J117" i="4"/>
  <c r="J118" i="4" s="1"/>
  <c r="J125" i="4"/>
  <c r="J139" i="4"/>
  <c r="J138" i="4"/>
  <c r="J140" i="4"/>
  <c r="J127" i="4"/>
  <c r="J129" i="4"/>
  <c r="J130" i="4"/>
  <c r="J132" i="4" s="1"/>
  <c r="J161" i="4"/>
  <c r="I117" i="4"/>
  <c r="I118" i="4" s="1"/>
  <c r="I125" i="4"/>
  <c r="I138" i="4"/>
  <c r="I140" i="4"/>
  <c r="I139" i="4"/>
  <c r="I127" i="4"/>
  <c r="I129" i="4"/>
  <c r="I130" i="4"/>
  <c r="I132" i="4"/>
  <c r="I161" i="4"/>
  <c r="H125" i="4"/>
  <c r="H117" i="4"/>
  <c r="H118" i="4" s="1"/>
  <c r="H138" i="4"/>
  <c r="H139" i="4"/>
  <c r="H140" i="4"/>
  <c r="H127" i="4"/>
  <c r="H129" i="4"/>
  <c r="H130" i="4"/>
  <c r="H161" i="4"/>
  <c r="G117" i="4"/>
  <c r="G118" i="4" s="1"/>
  <c r="G125" i="4"/>
  <c r="G140" i="4"/>
  <c r="G138" i="4"/>
  <c r="G139" i="4"/>
  <c r="G127" i="4"/>
  <c r="G129" i="4"/>
  <c r="G132" i="4"/>
  <c r="G161" i="4"/>
  <c r="F117" i="4"/>
  <c r="F118" i="4" s="1"/>
  <c r="F125" i="4"/>
  <c r="F138" i="4"/>
  <c r="F140" i="4"/>
  <c r="F139" i="4"/>
  <c r="F127" i="4"/>
  <c r="F129" i="4"/>
  <c r="F130" i="4"/>
  <c r="F132" i="4" s="1"/>
  <c r="F161" i="4"/>
  <c r="E125" i="4"/>
  <c r="E117" i="4"/>
  <c r="E118" i="4" s="1"/>
  <c r="E177" i="4"/>
  <c r="E140" i="4"/>
  <c r="E138" i="4"/>
  <c r="E139" i="4"/>
  <c r="E127" i="4"/>
  <c r="E129" i="4"/>
  <c r="E161" i="4"/>
  <c r="K132" i="4" l="1"/>
  <c r="K133" i="4" s="1"/>
  <c r="K134" i="4" s="1"/>
  <c r="P132" i="5"/>
  <c r="P133" i="5" s="1"/>
  <c r="P134" i="5" s="1"/>
  <c r="M148" i="6"/>
  <c r="M149" i="6" s="1"/>
  <c r="M150" i="6" s="1"/>
  <c r="W132" i="4"/>
  <c r="W133" i="4" s="1"/>
  <c r="W134" i="4" s="1"/>
  <c r="R132" i="5"/>
  <c r="U132" i="5"/>
  <c r="F148" i="6"/>
  <c r="S148" i="6"/>
  <c r="S149" i="6" s="1"/>
  <c r="S150" i="6" s="1"/>
  <c r="P148" i="6"/>
  <c r="I132" i="5"/>
  <c r="I133" i="5" s="1"/>
  <c r="I134" i="5" s="1"/>
  <c r="G148" i="6"/>
  <c r="O132" i="5"/>
  <c r="O133" i="5" s="1"/>
  <c r="O134" i="5" s="1"/>
  <c r="E132" i="4"/>
  <c r="H132" i="4"/>
  <c r="Q132" i="4"/>
  <c r="Q133" i="4" s="1"/>
  <c r="Q134" i="4" s="1"/>
  <c r="Y149" i="6"/>
  <c r="Y150" i="6" s="1"/>
  <c r="X149" i="6"/>
  <c r="X150" i="6" s="1"/>
  <c r="W149" i="6"/>
  <c r="W150" i="6" s="1"/>
  <c r="V149" i="6"/>
  <c r="V150" i="6" s="1"/>
  <c r="U149" i="6"/>
  <c r="U150" i="6"/>
  <c r="T149" i="6"/>
  <c r="T150" i="6" s="1"/>
  <c r="R149" i="6"/>
  <c r="R150" i="6"/>
  <c r="Q149" i="6"/>
  <c r="Q150" i="6"/>
  <c r="O149" i="6"/>
  <c r="O150" i="6" s="1"/>
  <c r="N149" i="6"/>
  <c r="N150" i="6" s="1"/>
  <c r="L149" i="6"/>
  <c r="L150" i="6"/>
  <c r="K149" i="6"/>
  <c r="K150" i="6"/>
  <c r="J149" i="6"/>
  <c r="J150" i="6" s="1"/>
  <c r="I149" i="6"/>
  <c r="I150" i="6" s="1"/>
  <c r="H149" i="6"/>
  <c r="H150" i="6"/>
  <c r="E149" i="6"/>
  <c r="E150" i="6"/>
  <c r="Y133" i="5"/>
  <c r="Y134" i="5"/>
  <c r="X133" i="5"/>
  <c r="X134" i="5" s="1"/>
  <c r="W133" i="5"/>
  <c r="W134" i="5"/>
  <c r="V133" i="5"/>
  <c r="V134" i="5" s="1"/>
  <c r="T133" i="5"/>
  <c r="T134" i="5" s="1"/>
  <c r="S133" i="5"/>
  <c r="S134" i="5"/>
  <c r="Q133" i="5"/>
  <c r="Q134" i="5" s="1"/>
  <c r="N133" i="5"/>
  <c r="N134" i="5" s="1"/>
  <c r="M133" i="5"/>
  <c r="M134" i="5"/>
  <c r="L133" i="5"/>
  <c r="L134" i="5" s="1"/>
  <c r="K133" i="5"/>
  <c r="K134" i="5" s="1"/>
  <c r="J133" i="5"/>
  <c r="J134" i="5"/>
  <c r="H133" i="5"/>
  <c r="H134" i="5" s="1"/>
  <c r="G133" i="5"/>
  <c r="G134" i="5" s="1"/>
  <c r="F133" i="5"/>
  <c r="F134" i="5" s="1"/>
  <c r="E133" i="5"/>
  <c r="E134" i="5" s="1"/>
  <c r="Y133" i="4"/>
  <c r="Y134" i="4" s="1"/>
  <c r="X133" i="4"/>
  <c r="X134" i="4"/>
  <c r="V133" i="4"/>
  <c r="V134" i="4" s="1"/>
  <c r="U133" i="4"/>
  <c r="U134" i="4" s="1"/>
  <c r="T133" i="4"/>
  <c r="T134" i="4" s="1"/>
  <c r="S133" i="4"/>
  <c r="S134" i="4" s="1"/>
  <c r="R133" i="4"/>
  <c r="R134" i="4" s="1"/>
  <c r="P133" i="4"/>
  <c r="P134" i="4" s="1"/>
  <c r="O133" i="4"/>
  <c r="O134" i="4"/>
  <c r="N133" i="4"/>
  <c r="N134" i="4" s="1"/>
  <c r="M133" i="4"/>
  <c r="M134" i="4" s="1"/>
  <c r="L133" i="4"/>
  <c r="L134" i="4" s="1"/>
  <c r="J133" i="4"/>
  <c r="J134" i="4" s="1"/>
  <c r="I133" i="4"/>
  <c r="I134" i="4" s="1"/>
  <c r="G133" i="4"/>
  <c r="G134" i="4" s="1"/>
  <c r="F133" i="4"/>
  <c r="F134" i="4" s="1"/>
  <c r="P149" i="6" l="1"/>
  <c r="P150" i="6"/>
  <c r="R133" i="5"/>
  <c r="R134" i="5"/>
  <c r="U133" i="5"/>
  <c r="U134" i="5"/>
  <c r="F149" i="6"/>
  <c r="F150" i="6" s="1"/>
  <c r="G149" i="6"/>
  <c r="G150" i="6"/>
  <c r="E133" i="4"/>
  <c r="E134" i="4" s="1"/>
  <c r="H133" i="4"/>
  <c r="H134" i="4" s="1"/>
  <c r="Y161" i="6"/>
  <c r="Y162" i="6" s="1"/>
  <c r="Y151" i="6"/>
  <c r="Y185" i="6" s="1"/>
  <c r="Y172" i="6"/>
  <c r="X161" i="6"/>
  <c r="X162" i="6" s="1"/>
  <c r="X151" i="6"/>
  <c r="X185" i="6" s="1"/>
  <c r="X172" i="6"/>
  <c r="W161" i="6"/>
  <c r="W162" i="6" s="1"/>
  <c r="W151" i="6"/>
  <c r="W185" i="6" s="1"/>
  <c r="W172" i="6"/>
  <c r="V161" i="6"/>
  <c r="V162" i="6" s="1"/>
  <c r="V151" i="6"/>
  <c r="V185" i="6" s="1"/>
  <c r="V172" i="6"/>
  <c r="U161" i="6"/>
  <c r="U162" i="6" s="1"/>
  <c r="U151" i="6"/>
  <c r="U185" i="6" s="1"/>
  <c r="U172" i="6"/>
  <c r="T161" i="6"/>
  <c r="T162" i="6" s="1"/>
  <c r="T151" i="6"/>
  <c r="T185" i="6" s="1"/>
  <c r="T172" i="6"/>
  <c r="S161" i="6"/>
  <c r="S162" i="6" s="1"/>
  <c r="S180" i="6" s="1"/>
  <c r="G204" i="6" s="1"/>
  <c r="K17" i="7" s="1"/>
  <c r="S151" i="6"/>
  <c r="S172" i="6"/>
  <c r="G194" i="6"/>
  <c r="E17" i="7" s="1"/>
  <c r="I211" i="6"/>
  <c r="R161" i="6"/>
  <c r="R162" i="6" s="1"/>
  <c r="R151" i="6"/>
  <c r="R185" i="6" s="1"/>
  <c r="R172" i="6"/>
  <c r="Q161" i="6"/>
  <c r="Q162" i="6" s="1"/>
  <c r="Q151" i="6"/>
  <c r="Q185" i="6" s="1"/>
  <c r="Q172" i="6"/>
  <c r="O161" i="6"/>
  <c r="O162" i="6" s="1"/>
  <c r="O151" i="6"/>
  <c r="O185" i="6" s="1"/>
  <c r="O172" i="6"/>
  <c r="N161" i="6"/>
  <c r="N162" i="6" s="1"/>
  <c r="N151" i="6"/>
  <c r="N185" i="6" s="1"/>
  <c r="N172" i="6"/>
  <c r="M161" i="6"/>
  <c r="M162" i="6" s="1"/>
  <c r="M167" i="6" s="1"/>
  <c r="M182" i="6" s="1"/>
  <c r="M183" i="6" s="1"/>
  <c r="M151" i="6"/>
  <c r="M185" i="6" s="1"/>
  <c r="M172" i="6"/>
  <c r="M180" i="6"/>
  <c r="L161" i="6"/>
  <c r="L162" i="6" s="1"/>
  <c r="L180" i="6" s="1"/>
  <c r="F204" i="6" s="1"/>
  <c r="K16" i="7" s="1"/>
  <c r="L151" i="6"/>
  <c r="L172" i="6"/>
  <c r="F194" i="6"/>
  <c r="E16" i="7" s="1"/>
  <c r="F211" i="6"/>
  <c r="K161" i="6"/>
  <c r="K162" i="6" s="1"/>
  <c r="K151" i="6"/>
  <c r="K185" i="6" s="1"/>
  <c r="K172" i="6"/>
  <c r="J161" i="6"/>
  <c r="J162" i="6" s="1"/>
  <c r="J151" i="6"/>
  <c r="J185" i="6" s="1"/>
  <c r="J172" i="6"/>
  <c r="I161" i="6"/>
  <c r="I162" i="6" s="1"/>
  <c r="I151" i="6"/>
  <c r="I185" i="6" s="1"/>
  <c r="I172" i="6"/>
  <c r="H161" i="6"/>
  <c r="H162" i="6" s="1"/>
  <c r="H151" i="6"/>
  <c r="H185" i="6" s="1"/>
  <c r="H172" i="6"/>
  <c r="E161" i="6"/>
  <c r="E162" i="6" s="1"/>
  <c r="E180" i="6" s="1"/>
  <c r="E204" i="6" s="1"/>
  <c r="K15" i="7" s="1"/>
  <c r="E151" i="6"/>
  <c r="E172" i="6"/>
  <c r="E194" i="6"/>
  <c r="E15" i="7" s="1"/>
  <c r="C211" i="6"/>
  <c r="Y145" i="5"/>
  <c r="Y146" i="5" s="1"/>
  <c r="Y135" i="5"/>
  <c r="Y169" i="5" s="1"/>
  <c r="Y156" i="5"/>
  <c r="X145" i="5"/>
  <c r="X146" i="5" s="1"/>
  <c r="X135" i="5"/>
  <c r="X169" i="5" s="1"/>
  <c r="X156" i="5"/>
  <c r="W145" i="5"/>
  <c r="W146" i="5" s="1"/>
  <c r="W135" i="5"/>
  <c r="W169" i="5" s="1"/>
  <c r="W156" i="5"/>
  <c r="V145" i="5"/>
  <c r="V146" i="5" s="1"/>
  <c r="V135" i="5"/>
  <c r="V169" i="5" s="1"/>
  <c r="V156" i="5"/>
  <c r="T145" i="5"/>
  <c r="T146" i="5" s="1"/>
  <c r="T151" i="5" s="1"/>
  <c r="T166" i="5" s="1"/>
  <c r="T167" i="5" s="1"/>
  <c r="T135" i="5"/>
  <c r="T169" i="5" s="1"/>
  <c r="T156" i="5"/>
  <c r="T164" i="5"/>
  <c r="S145" i="5"/>
  <c r="S146" i="5" s="1"/>
  <c r="S164" i="5" s="1"/>
  <c r="G188" i="5" s="1"/>
  <c r="K12" i="7" s="1"/>
  <c r="S135" i="5"/>
  <c r="S156" i="5"/>
  <c r="G178" i="5"/>
  <c r="E12" i="7" s="1"/>
  <c r="I195" i="5"/>
  <c r="Q145" i="5"/>
  <c r="Q146" i="5" s="1"/>
  <c r="Q135" i="5"/>
  <c r="Q169" i="5" s="1"/>
  <c r="Q156" i="5"/>
  <c r="P145" i="5"/>
  <c r="P146" i="5" s="1"/>
  <c r="P135" i="5"/>
  <c r="P169" i="5" s="1"/>
  <c r="P156" i="5"/>
  <c r="O145" i="5"/>
  <c r="O146" i="5" s="1"/>
  <c r="O151" i="5" s="1"/>
  <c r="O135" i="5"/>
  <c r="O169" i="5" s="1"/>
  <c r="O156" i="5"/>
  <c r="O166" i="5"/>
  <c r="O167" i="5" s="1"/>
  <c r="O164" i="5"/>
  <c r="N145" i="5"/>
  <c r="N146" i="5" s="1"/>
  <c r="N135" i="5"/>
  <c r="N169" i="5" s="1"/>
  <c r="N156" i="5"/>
  <c r="M145" i="5"/>
  <c r="M146" i="5" s="1"/>
  <c r="M135" i="5"/>
  <c r="M169" i="5" s="1"/>
  <c r="M156" i="5"/>
  <c r="L145" i="5"/>
  <c r="L146" i="5" s="1"/>
  <c r="L164" i="5" s="1"/>
  <c r="F188" i="5" s="1"/>
  <c r="K11" i="7" s="1"/>
  <c r="L135" i="5"/>
  <c r="L156" i="5"/>
  <c r="F178" i="5"/>
  <c r="E11" i="7" s="1"/>
  <c r="F195" i="5"/>
  <c r="K145" i="5"/>
  <c r="K146" i="5" s="1"/>
  <c r="K135" i="5"/>
  <c r="K169" i="5" s="1"/>
  <c r="K156" i="5"/>
  <c r="J145" i="5"/>
  <c r="J146" i="5" s="1"/>
  <c r="J135" i="5"/>
  <c r="J169" i="5" s="1"/>
  <c r="J156" i="5"/>
  <c r="I145" i="5"/>
  <c r="I146" i="5" s="1"/>
  <c r="I135" i="5"/>
  <c r="I169" i="5" s="1"/>
  <c r="I156" i="5"/>
  <c r="H145" i="5"/>
  <c r="H146" i="5" s="1"/>
  <c r="H135" i="5"/>
  <c r="H169" i="5" s="1"/>
  <c r="H156" i="5"/>
  <c r="G145" i="5"/>
  <c r="G146" i="5" s="1"/>
  <c r="G135" i="5"/>
  <c r="G169" i="5" s="1"/>
  <c r="G156" i="5"/>
  <c r="F145" i="5"/>
  <c r="F146" i="5" s="1"/>
  <c r="F135" i="5"/>
  <c r="F169" i="5" s="1"/>
  <c r="F156" i="5"/>
  <c r="E145" i="5"/>
  <c r="E146" i="5" s="1"/>
  <c r="E164" i="5" s="1"/>
  <c r="E188" i="5" s="1"/>
  <c r="K10" i="7" s="1"/>
  <c r="E135" i="5"/>
  <c r="E156" i="5"/>
  <c r="E178" i="5"/>
  <c r="E10" i="7" s="1"/>
  <c r="C195" i="5"/>
  <c r="Y145" i="4"/>
  <c r="Y146" i="4" s="1"/>
  <c r="Y135" i="4"/>
  <c r="Y169" i="4" s="1"/>
  <c r="Y156" i="4"/>
  <c r="X145" i="4"/>
  <c r="X146" i="4" s="1"/>
  <c r="X135" i="4"/>
  <c r="X169" i="4" s="1"/>
  <c r="X156" i="4"/>
  <c r="W145" i="4"/>
  <c r="W146" i="4" s="1"/>
  <c r="W135" i="4"/>
  <c r="W169" i="4" s="1"/>
  <c r="W156" i="4"/>
  <c r="V145" i="4"/>
  <c r="V146" i="4" s="1"/>
  <c r="V135" i="4"/>
  <c r="V169" i="4" s="1"/>
  <c r="V156" i="4"/>
  <c r="U145" i="4"/>
  <c r="U146" i="4" s="1"/>
  <c r="U135" i="4"/>
  <c r="U169" i="4" s="1"/>
  <c r="U156" i="4"/>
  <c r="T145" i="4"/>
  <c r="T146" i="4" s="1"/>
  <c r="T135" i="4"/>
  <c r="T169" i="4" s="1"/>
  <c r="T156" i="4"/>
  <c r="S145" i="4"/>
  <c r="S146" i="4" s="1"/>
  <c r="S164" i="4" s="1"/>
  <c r="G188" i="4" s="1"/>
  <c r="K7" i="7" s="1"/>
  <c r="S135" i="4"/>
  <c r="S156" i="4"/>
  <c r="G178" i="4"/>
  <c r="E7" i="7" s="1"/>
  <c r="I195" i="4"/>
  <c r="R145" i="4"/>
  <c r="R146" i="4" s="1"/>
  <c r="R135" i="4"/>
  <c r="R169" i="4" s="1"/>
  <c r="R156" i="4"/>
  <c r="Q145" i="4"/>
  <c r="Q146" i="4" s="1"/>
  <c r="Q135" i="4"/>
  <c r="Q169" i="4" s="1"/>
  <c r="Q156" i="4"/>
  <c r="P145" i="4"/>
  <c r="P146" i="4" s="1"/>
  <c r="P135" i="4"/>
  <c r="P169" i="4" s="1"/>
  <c r="P156" i="4"/>
  <c r="O145" i="4"/>
  <c r="O146" i="4" s="1"/>
  <c r="O135" i="4"/>
  <c r="O169" i="4" s="1"/>
  <c r="O156" i="4"/>
  <c r="N145" i="4"/>
  <c r="N146" i="4" s="1"/>
  <c r="N135" i="4"/>
  <c r="N169" i="4" s="1"/>
  <c r="N156" i="4"/>
  <c r="M145" i="4"/>
  <c r="M146" i="4" s="1"/>
  <c r="M135" i="4"/>
  <c r="M169" i="4" s="1"/>
  <c r="M156" i="4"/>
  <c r="L145" i="4"/>
  <c r="L146" i="4" s="1"/>
  <c r="L164" i="4" s="1"/>
  <c r="F188" i="4" s="1"/>
  <c r="K6" i="7" s="1"/>
  <c r="L135" i="4"/>
  <c r="L156" i="4"/>
  <c r="F178" i="4"/>
  <c r="E6" i="7" s="1"/>
  <c r="F195" i="4"/>
  <c r="K145" i="4"/>
  <c r="K146" i="4" s="1"/>
  <c r="K135" i="4"/>
  <c r="K169" i="4" s="1"/>
  <c r="K156" i="4"/>
  <c r="J145" i="4"/>
  <c r="J146" i="4" s="1"/>
  <c r="J135" i="4"/>
  <c r="J169" i="4" s="1"/>
  <c r="J156" i="4"/>
  <c r="I145" i="4"/>
  <c r="I146" i="4" s="1"/>
  <c r="I135" i="4"/>
  <c r="I169" i="4" s="1"/>
  <c r="I156" i="4"/>
  <c r="G145" i="4"/>
  <c r="G146" i="4" s="1"/>
  <c r="G135" i="4"/>
  <c r="G169" i="4" s="1"/>
  <c r="G156" i="4"/>
  <c r="F145" i="4"/>
  <c r="F146" i="4" s="1"/>
  <c r="F135" i="4"/>
  <c r="F169" i="4" s="1"/>
  <c r="F156" i="4"/>
  <c r="V151" i="5" l="1"/>
  <c r="V166" i="5" s="1"/>
  <c r="V167" i="5" s="1"/>
  <c r="V164" i="5"/>
  <c r="J151" i="5"/>
  <c r="J166" i="5" s="1"/>
  <c r="J167" i="5" s="1"/>
  <c r="J164" i="5"/>
  <c r="P161" i="6"/>
  <c r="P162" i="6" s="1"/>
  <c r="P151" i="6"/>
  <c r="P185" i="6" s="1"/>
  <c r="P172" i="6"/>
  <c r="Q167" i="6"/>
  <c r="Q180" i="6"/>
  <c r="F161" i="6"/>
  <c r="F162" i="6" s="1"/>
  <c r="F151" i="6"/>
  <c r="F185" i="6" s="1"/>
  <c r="F172" i="6"/>
  <c r="P151" i="5"/>
  <c r="P164" i="5"/>
  <c r="Y167" i="6"/>
  <c r="Y180" i="6"/>
  <c r="K167" i="6"/>
  <c r="K180" i="6"/>
  <c r="H167" i="6"/>
  <c r="H180" i="6"/>
  <c r="I151" i="5"/>
  <c r="I164" i="5"/>
  <c r="X167" i="6"/>
  <c r="X180" i="6"/>
  <c r="Q151" i="5"/>
  <c r="Q164" i="5"/>
  <c r="F151" i="5"/>
  <c r="F164" i="5"/>
  <c r="V167" i="6"/>
  <c r="V180" i="6"/>
  <c r="J167" i="6"/>
  <c r="J180" i="6"/>
  <c r="Y151" i="5"/>
  <c r="Y164" i="5"/>
  <c r="R145" i="5"/>
  <c r="R146" i="5" s="1"/>
  <c r="R135" i="5"/>
  <c r="R169" i="5" s="1"/>
  <c r="R156" i="5"/>
  <c r="U145" i="5"/>
  <c r="U146" i="5" s="1"/>
  <c r="U135" i="5"/>
  <c r="U169" i="5" s="1"/>
  <c r="U156" i="5"/>
  <c r="W151" i="5"/>
  <c r="W152" i="5" s="1"/>
  <c r="W164" i="5"/>
  <c r="G161" i="6"/>
  <c r="G162" i="6" s="1"/>
  <c r="G172" i="6"/>
  <c r="G151" i="6"/>
  <c r="G185" i="6" s="1"/>
  <c r="R167" i="6"/>
  <c r="R180" i="6"/>
  <c r="N151" i="5"/>
  <c r="N164" i="5"/>
  <c r="L167" i="6"/>
  <c r="F197" i="6"/>
  <c r="M151" i="5"/>
  <c r="M164" i="5"/>
  <c r="N167" i="6"/>
  <c r="N180" i="6"/>
  <c r="I167" i="6"/>
  <c r="I180" i="6"/>
  <c r="X151" i="5"/>
  <c r="X164" i="5"/>
  <c r="H151" i="5"/>
  <c r="H164" i="5"/>
  <c r="N151" i="4"/>
  <c r="N164" i="4"/>
  <c r="W167" i="6"/>
  <c r="W180" i="6"/>
  <c r="U167" i="6"/>
  <c r="U180" i="6"/>
  <c r="T167" i="6"/>
  <c r="T180" i="6"/>
  <c r="O167" i="6"/>
  <c r="O180" i="6"/>
  <c r="G151" i="5"/>
  <c r="G164" i="5"/>
  <c r="E145" i="4"/>
  <c r="E146" i="4" s="1"/>
  <c r="E151" i="4" s="1"/>
  <c r="E152" i="4" s="1"/>
  <c r="E135" i="4"/>
  <c r="E156" i="4"/>
  <c r="E178" i="4"/>
  <c r="E5" i="7" s="1"/>
  <c r="C195" i="4"/>
  <c r="T151" i="4"/>
  <c r="T164" i="4"/>
  <c r="M151" i="4"/>
  <c r="M164" i="4"/>
  <c r="F151" i="4"/>
  <c r="F164" i="4"/>
  <c r="Q151" i="4"/>
  <c r="Q164" i="4"/>
  <c r="J151" i="4"/>
  <c r="J164" i="4"/>
  <c r="X151" i="4"/>
  <c r="X164" i="4"/>
  <c r="G151" i="4"/>
  <c r="G164" i="4"/>
  <c r="H145" i="4"/>
  <c r="H146" i="4" s="1"/>
  <c r="H135" i="4"/>
  <c r="H169" i="4" s="1"/>
  <c r="H156" i="4"/>
  <c r="W151" i="4"/>
  <c r="W164" i="4"/>
  <c r="U151" i="4"/>
  <c r="U164" i="4"/>
  <c r="P151" i="4"/>
  <c r="P164" i="4"/>
  <c r="I151" i="4"/>
  <c r="I164" i="4"/>
  <c r="V151" i="4"/>
  <c r="V164" i="4"/>
  <c r="O151" i="4"/>
  <c r="O164" i="4"/>
  <c r="S167" i="6"/>
  <c r="G197" i="6"/>
  <c r="S185" i="6"/>
  <c r="G207" i="6" s="1"/>
  <c r="M17" i="7" s="1"/>
  <c r="G195" i="6"/>
  <c r="J211" i="6"/>
  <c r="K211" i="6"/>
  <c r="M168" i="6"/>
  <c r="M171" i="6"/>
  <c r="L185" i="6"/>
  <c r="F207" i="6" s="1"/>
  <c r="M16" i="7" s="1"/>
  <c r="F195" i="6"/>
  <c r="G211" i="6"/>
  <c r="H211" i="6"/>
  <c r="E185" i="6"/>
  <c r="E207" i="6" s="1"/>
  <c r="M15" i="7" s="1"/>
  <c r="E195" i="6"/>
  <c r="D211" i="6"/>
  <c r="E211" i="6"/>
  <c r="S151" i="5"/>
  <c r="G181" i="5"/>
  <c r="G179" i="5"/>
  <c r="S169" i="5"/>
  <c r="G191" i="5" s="1"/>
  <c r="M12" i="7" s="1"/>
  <c r="J195" i="5"/>
  <c r="K195" i="5"/>
  <c r="O152" i="5"/>
  <c r="O155" i="5"/>
  <c r="L151" i="5"/>
  <c r="F181" i="5"/>
  <c r="L169" i="5"/>
  <c r="F191" i="5" s="1"/>
  <c r="M11" i="7" s="1"/>
  <c r="F179" i="5"/>
  <c r="H195" i="5"/>
  <c r="G195" i="5"/>
  <c r="J152" i="5"/>
  <c r="J155" i="5"/>
  <c r="E151" i="5"/>
  <c r="E181" i="5"/>
  <c r="E169" i="5"/>
  <c r="E191" i="5" s="1"/>
  <c r="M10" i="7" s="1"/>
  <c r="E179" i="5"/>
  <c r="D195" i="5"/>
  <c r="E195" i="5"/>
  <c r="S169" i="4"/>
  <c r="G191" i="4" s="1"/>
  <c r="M7" i="7" s="1"/>
  <c r="G179" i="4"/>
  <c r="J195" i="4"/>
  <c r="K195" i="4"/>
  <c r="L169" i="4"/>
  <c r="F191" i="4" s="1"/>
  <c r="M6" i="7" s="1"/>
  <c r="F179" i="4"/>
  <c r="H195" i="4"/>
  <c r="G195" i="4"/>
  <c r="E197" i="6"/>
  <c r="E167" i="6"/>
  <c r="V152" i="5"/>
  <c r="V155" i="5"/>
  <c r="T155" i="5"/>
  <c r="T152" i="5"/>
  <c r="K151" i="5"/>
  <c r="K164" i="5"/>
  <c r="Y151" i="4"/>
  <c r="Y164" i="4"/>
  <c r="G181" i="4"/>
  <c r="S151" i="4"/>
  <c r="R151" i="4"/>
  <c r="R164" i="4"/>
  <c r="F181" i="4"/>
  <c r="L151" i="4"/>
  <c r="K151" i="4"/>
  <c r="K164" i="4"/>
  <c r="P180" i="6" l="1"/>
  <c r="P167" i="6"/>
  <c r="Q182" i="6"/>
  <c r="Q183" i="6" s="1"/>
  <c r="Q168" i="6"/>
  <c r="Q171" i="6"/>
  <c r="F167" i="6"/>
  <c r="F180" i="6"/>
  <c r="P166" i="5"/>
  <c r="P167" i="5" s="1"/>
  <c r="P152" i="5"/>
  <c r="P155" i="5"/>
  <c r="Y168" i="6"/>
  <c r="Y171" i="6"/>
  <c r="Y182" i="6"/>
  <c r="Y183" i="6" s="1"/>
  <c r="K182" i="6"/>
  <c r="K183" i="6" s="1"/>
  <c r="K168" i="6"/>
  <c r="K171" i="6"/>
  <c r="H182" i="6"/>
  <c r="H183" i="6" s="1"/>
  <c r="H168" i="6"/>
  <c r="H171" i="6"/>
  <c r="I166" i="5"/>
  <c r="I167" i="5" s="1"/>
  <c r="I152" i="5"/>
  <c r="I155" i="5"/>
  <c r="X182" i="6"/>
  <c r="X183" i="6" s="1"/>
  <c r="X171" i="6"/>
  <c r="X168" i="6"/>
  <c r="Q166" i="5"/>
  <c r="Q167" i="5" s="1"/>
  <c r="Q155" i="5"/>
  <c r="Q152" i="5"/>
  <c r="F166" i="5"/>
  <c r="F167" i="5" s="1"/>
  <c r="F152" i="5"/>
  <c r="F155" i="5"/>
  <c r="L182" i="6"/>
  <c r="L171" i="6"/>
  <c r="E234" i="6" s="1"/>
  <c r="F196" i="6"/>
  <c r="F16" i="7" s="1"/>
  <c r="L168" i="6"/>
  <c r="F198" i="6" s="1"/>
  <c r="V182" i="6"/>
  <c r="V183" i="6" s="1"/>
  <c r="V171" i="6"/>
  <c r="V168" i="6"/>
  <c r="J182" i="6"/>
  <c r="J183" i="6" s="1"/>
  <c r="J171" i="6"/>
  <c r="J168" i="6"/>
  <c r="Y166" i="5"/>
  <c r="Y167" i="5" s="1"/>
  <c r="Y152" i="5"/>
  <c r="Y155" i="5"/>
  <c r="R182" i="6"/>
  <c r="R183" i="6" s="1"/>
  <c r="R171" i="6"/>
  <c r="R168" i="6"/>
  <c r="P182" i="6"/>
  <c r="P183" i="6" s="1"/>
  <c r="P168" i="6"/>
  <c r="P171" i="6"/>
  <c r="U151" i="5"/>
  <c r="U166" i="5" s="1"/>
  <c r="U167" i="5" s="1"/>
  <c r="U164" i="5"/>
  <c r="N166" i="4"/>
  <c r="N167" i="4" s="1"/>
  <c r="N155" i="4"/>
  <c r="N152" i="4"/>
  <c r="R151" i="5"/>
  <c r="R164" i="5"/>
  <c r="U152" i="5"/>
  <c r="U155" i="5"/>
  <c r="W166" i="5"/>
  <c r="W167" i="5" s="1"/>
  <c r="W155" i="5"/>
  <c r="G167" i="6"/>
  <c r="G180" i="6"/>
  <c r="H166" i="5"/>
  <c r="H167" i="5" s="1"/>
  <c r="H152" i="5"/>
  <c r="H155" i="5"/>
  <c r="N166" i="5"/>
  <c r="N167" i="5" s="1"/>
  <c r="N152" i="5"/>
  <c r="N155" i="5"/>
  <c r="M166" i="5"/>
  <c r="M167" i="5" s="1"/>
  <c r="M152" i="5"/>
  <c r="M155" i="5"/>
  <c r="N182" i="6"/>
  <c r="N183" i="6" s="1"/>
  <c r="N171" i="6"/>
  <c r="N168" i="6"/>
  <c r="I182" i="6"/>
  <c r="I183" i="6" s="1"/>
  <c r="I171" i="6"/>
  <c r="I168" i="6"/>
  <c r="X166" i="5"/>
  <c r="X167" i="5" s="1"/>
  <c r="X155" i="5"/>
  <c r="X152" i="5"/>
  <c r="T182" i="6"/>
  <c r="T183" i="6" s="1"/>
  <c r="T171" i="6"/>
  <c r="T168" i="6"/>
  <c r="O182" i="6"/>
  <c r="O183" i="6" s="1"/>
  <c r="O168" i="6"/>
  <c r="O171" i="6"/>
  <c r="E237" i="6" s="1"/>
  <c r="G166" i="5"/>
  <c r="G167" i="5" s="1"/>
  <c r="G155" i="5"/>
  <c r="G152" i="5"/>
  <c r="W171" i="6"/>
  <c r="W182" i="6"/>
  <c r="W183" i="6" s="1"/>
  <c r="W168" i="6"/>
  <c r="U168" i="6"/>
  <c r="U182" i="6"/>
  <c r="U183" i="6" s="1"/>
  <c r="U171" i="6"/>
  <c r="E164" i="4"/>
  <c r="E188" i="4" s="1"/>
  <c r="K5" i="7" s="1"/>
  <c r="E181" i="4"/>
  <c r="E169" i="4"/>
  <c r="E191" i="4" s="1"/>
  <c r="M5" i="7" s="1"/>
  <c r="E179" i="4"/>
  <c r="D195" i="4"/>
  <c r="E195" i="4"/>
  <c r="M166" i="4"/>
  <c r="M167" i="4" s="1"/>
  <c r="M152" i="4"/>
  <c r="M155" i="4"/>
  <c r="T166" i="4"/>
  <c r="T167" i="4" s="1"/>
  <c r="T152" i="4"/>
  <c r="T155" i="4"/>
  <c r="F166" i="4"/>
  <c r="F167" i="4" s="1"/>
  <c r="F152" i="4"/>
  <c r="F155" i="4"/>
  <c r="I166" i="4"/>
  <c r="I167" i="4" s="1"/>
  <c r="I152" i="4"/>
  <c r="I155" i="4"/>
  <c r="I157" i="4" s="1"/>
  <c r="Q166" i="4"/>
  <c r="Q167" i="4" s="1"/>
  <c r="Q155" i="4"/>
  <c r="Q168" i="4" s="1"/>
  <c r="Q152" i="4"/>
  <c r="J166" i="4"/>
  <c r="J167" i="4" s="1"/>
  <c r="J152" i="4"/>
  <c r="J155" i="4"/>
  <c r="X166" i="4"/>
  <c r="X167" i="4" s="1"/>
  <c r="X152" i="4"/>
  <c r="X155" i="4"/>
  <c r="G166" i="4"/>
  <c r="G167" i="4" s="1"/>
  <c r="G155" i="4"/>
  <c r="G152" i="4"/>
  <c r="U166" i="4"/>
  <c r="U167" i="4" s="1"/>
  <c r="U155" i="4"/>
  <c r="U152" i="4"/>
  <c r="H151" i="4"/>
  <c r="H164" i="4"/>
  <c r="W166" i="4"/>
  <c r="W167" i="4" s="1"/>
  <c r="W152" i="4"/>
  <c r="W155" i="4"/>
  <c r="P166" i="4"/>
  <c r="P167" i="4" s="1"/>
  <c r="P152" i="4"/>
  <c r="P155" i="4"/>
  <c r="V166" i="4"/>
  <c r="V167" i="4" s="1"/>
  <c r="V152" i="4"/>
  <c r="V155" i="4"/>
  <c r="O166" i="4"/>
  <c r="O167" i="4" s="1"/>
  <c r="O155" i="4"/>
  <c r="O152" i="4"/>
  <c r="S182" i="6"/>
  <c r="S171" i="6"/>
  <c r="G196" i="6"/>
  <c r="F17" i="7" s="1"/>
  <c r="S168" i="6"/>
  <c r="G198" i="6" s="1"/>
  <c r="E235" i="6"/>
  <c r="M178" i="6"/>
  <c r="M179" i="6" s="1"/>
  <c r="G235" i="6" s="1"/>
  <c r="M173" i="6"/>
  <c r="M174" i="6"/>
  <c r="S166" i="5"/>
  <c r="S155" i="5"/>
  <c r="G180" i="5"/>
  <c r="F12" i="7" s="1"/>
  <c r="S152" i="5"/>
  <c r="G182" i="5" s="1"/>
  <c r="E221" i="5"/>
  <c r="O162" i="5"/>
  <c r="O163" i="5" s="1"/>
  <c r="G221" i="5" s="1"/>
  <c r="O157" i="5"/>
  <c r="O158" i="5"/>
  <c r="L166" i="5"/>
  <c r="L155" i="5"/>
  <c r="F180" i="5"/>
  <c r="F11" i="7" s="1"/>
  <c r="L152" i="5"/>
  <c r="F182" i="5" s="1"/>
  <c r="E216" i="5"/>
  <c r="J162" i="5"/>
  <c r="J163" i="5" s="1"/>
  <c r="G216" i="5" s="1"/>
  <c r="J157" i="5"/>
  <c r="J158" i="5"/>
  <c r="E166" i="5"/>
  <c r="E155" i="5"/>
  <c r="E180" i="5"/>
  <c r="F10" i="7" s="1"/>
  <c r="E152" i="5"/>
  <c r="E182" i="5" s="1"/>
  <c r="E168" i="6"/>
  <c r="E198" i="6" s="1"/>
  <c r="E196" i="6"/>
  <c r="F15" i="7" s="1"/>
  <c r="E171" i="6"/>
  <c r="E182" i="6"/>
  <c r="V158" i="5"/>
  <c r="V157" i="5"/>
  <c r="V162" i="5"/>
  <c r="V163" i="5" s="1"/>
  <c r="G228" i="5" s="1"/>
  <c r="E228" i="5"/>
  <c r="T158" i="5"/>
  <c r="T157" i="5"/>
  <c r="T162" i="5"/>
  <c r="T163" i="5" s="1"/>
  <c r="G226" i="5" s="1"/>
  <c r="E226" i="5"/>
  <c r="K155" i="5"/>
  <c r="K152" i="5"/>
  <c r="K166" i="5"/>
  <c r="K167" i="5" s="1"/>
  <c r="Y155" i="4"/>
  <c r="Y152" i="4"/>
  <c r="Y166" i="4"/>
  <c r="Y167" i="4" s="1"/>
  <c r="S152" i="4"/>
  <c r="G182" i="4" s="1"/>
  <c r="G180" i="4"/>
  <c r="F7" i="7" s="1"/>
  <c r="S155" i="4"/>
  <c r="S166" i="4"/>
  <c r="R155" i="4"/>
  <c r="R166" i="4"/>
  <c r="R167" i="4" s="1"/>
  <c r="R152" i="4"/>
  <c r="L152" i="4"/>
  <c r="F182" i="4" s="1"/>
  <c r="F180" i="4"/>
  <c r="F6" i="7" s="1"/>
  <c r="L155" i="4"/>
  <c r="L166" i="4"/>
  <c r="K155" i="4"/>
  <c r="K152" i="4"/>
  <c r="K166" i="4"/>
  <c r="K167" i="4" s="1"/>
  <c r="Q178" i="6" l="1"/>
  <c r="Q179" i="6" s="1"/>
  <c r="G239" i="6" s="1"/>
  <c r="Q173" i="6"/>
  <c r="Q174" i="6"/>
  <c r="E239" i="6"/>
  <c r="E233" i="6"/>
  <c r="K178" i="6"/>
  <c r="K179" i="6" s="1"/>
  <c r="G233" i="6" s="1"/>
  <c r="K174" i="6"/>
  <c r="K173" i="6"/>
  <c r="F171" i="6"/>
  <c r="F168" i="6"/>
  <c r="F182" i="6"/>
  <c r="F183" i="6" s="1"/>
  <c r="P157" i="5"/>
  <c r="P162" i="5"/>
  <c r="P163" i="5" s="1"/>
  <c r="G222" i="5" s="1"/>
  <c r="E222" i="5"/>
  <c r="P158" i="5"/>
  <c r="E247" i="6"/>
  <c r="Y178" i="6"/>
  <c r="Y179" i="6" s="1"/>
  <c r="G247" i="6" s="1"/>
  <c r="Y173" i="6"/>
  <c r="Y174" i="6"/>
  <c r="H174" i="6"/>
  <c r="H173" i="6"/>
  <c r="H178" i="6"/>
  <c r="H179" i="6" s="1"/>
  <c r="G230" i="6" s="1"/>
  <c r="E230" i="6"/>
  <c r="E215" i="5"/>
  <c r="I162" i="5"/>
  <c r="I163" i="5" s="1"/>
  <c r="G215" i="5" s="1"/>
  <c r="I157" i="5"/>
  <c r="I158" i="5"/>
  <c r="E246" i="6"/>
  <c r="X178" i="6"/>
  <c r="X179" i="6" s="1"/>
  <c r="G246" i="6" s="1"/>
  <c r="X173" i="6"/>
  <c r="X174" i="6"/>
  <c r="G182" i="6"/>
  <c r="G183" i="6" s="1"/>
  <c r="G171" i="6"/>
  <c r="G173" i="6" s="1"/>
  <c r="G168" i="6"/>
  <c r="E244" i="6"/>
  <c r="V178" i="6"/>
  <c r="V179" i="6" s="1"/>
  <c r="G244" i="6" s="1"/>
  <c r="V173" i="6"/>
  <c r="V174" i="6"/>
  <c r="E212" i="5"/>
  <c r="F162" i="5"/>
  <c r="F163" i="5" s="1"/>
  <c r="G212" i="5" s="1"/>
  <c r="F157" i="5"/>
  <c r="F158" i="5"/>
  <c r="F212" i="5" s="1"/>
  <c r="F205" i="6"/>
  <c r="L183" i="6"/>
  <c r="E223" i="5"/>
  <c r="Q162" i="5"/>
  <c r="Q163" i="5" s="1"/>
  <c r="G223" i="5" s="1"/>
  <c r="Q157" i="5"/>
  <c r="Q158" i="5"/>
  <c r="F217" i="6"/>
  <c r="F212" i="6"/>
  <c r="L174" i="6"/>
  <c r="F216" i="6"/>
  <c r="F218" i="6"/>
  <c r="F215" i="6"/>
  <c r="F214" i="6"/>
  <c r="F213" i="6"/>
  <c r="F200" i="6"/>
  <c r="G16" i="7" s="1"/>
  <c r="L178" i="6"/>
  <c r="L179" i="6" s="1"/>
  <c r="L173" i="6"/>
  <c r="F201" i="6" s="1"/>
  <c r="E232" i="6"/>
  <c r="J178" i="6"/>
  <c r="J179" i="6" s="1"/>
  <c r="G232" i="6" s="1"/>
  <c r="J173" i="6"/>
  <c r="J174" i="6"/>
  <c r="E231" i="5"/>
  <c r="Y162" i="5"/>
  <c r="Y163" i="5" s="1"/>
  <c r="G231" i="5" s="1"/>
  <c r="Y157" i="5"/>
  <c r="Y158" i="5"/>
  <c r="R173" i="6"/>
  <c r="R174" i="6"/>
  <c r="R178" i="6"/>
  <c r="R179" i="6" s="1"/>
  <c r="G240" i="6" s="1"/>
  <c r="E240" i="6"/>
  <c r="E238" i="6"/>
  <c r="P178" i="6"/>
  <c r="P179" i="6" s="1"/>
  <c r="G238" i="6" s="1"/>
  <c r="P173" i="6"/>
  <c r="P174" i="6"/>
  <c r="U158" i="5"/>
  <c r="E227" i="5"/>
  <c r="U162" i="5"/>
  <c r="U163" i="5" s="1"/>
  <c r="G227" i="5" s="1"/>
  <c r="U157" i="5"/>
  <c r="H157" i="5"/>
  <c r="H162" i="5"/>
  <c r="H163" i="5" s="1"/>
  <c r="G214" i="5" s="1"/>
  <c r="E214" i="5"/>
  <c r="H158" i="5"/>
  <c r="N158" i="5"/>
  <c r="N157" i="5"/>
  <c r="N162" i="5"/>
  <c r="N163" i="5" s="1"/>
  <c r="G220" i="5" s="1"/>
  <c r="E220" i="5"/>
  <c r="M158" i="5"/>
  <c r="M157" i="5"/>
  <c r="M162" i="5"/>
  <c r="M163" i="5" s="1"/>
  <c r="G219" i="5" s="1"/>
  <c r="E219" i="5"/>
  <c r="N174" i="6"/>
  <c r="N173" i="6"/>
  <c r="N178" i="6"/>
  <c r="N179" i="6" s="1"/>
  <c r="G236" i="6" s="1"/>
  <c r="E236" i="6"/>
  <c r="I174" i="6"/>
  <c r="E231" i="6"/>
  <c r="I178" i="6"/>
  <c r="I179" i="6" s="1"/>
  <c r="G231" i="6" s="1"/>
  <c r="I173" i="6"/>
  <c r="E230" i="5"/>
  <c r="X158" i="5"/>
  <c r="X157" i="5"/>
  <c r="X162" i="5"/>
  <c r="X163" i="5" s="1"/>
  <c r="G230" i="5" s="1"/>
  <c r="E242" i="6"/>
  <c r="T178" i="6"/>
  <c r="T179" i="6" s="1"/>
  <c r="G242" i="6" s="1"/>
  <c r="T173" i="6"/>
  <c r="T174" i="6"/>
  <c r="N158" i="4"/>
  <c r="N157" i="4"/>
  <c r="N162" i="4"/>
  <c r="N163" i="4" s="1"/>
  <c r="G220" i="4" s="1"/>
  <c r="E220" i="4"/>
  <c r="R155" i="5"/>
  <c r="R152" i="5"/>
  <c r="R166" i="5"/>
  <c r="R167" i="5" s="1"/>
  <c r="W158" i="5"/>
  <c r="W157" i="5"/>
  <c r="W162" i="5"/>
  <c r="W163" i="5" s="1"/>
  <c r="G229" i="5" s="1"/>
  <c r="E229" i="5"/>
  <c r="O178" i="6"/>
  <c r="O179" i="6" s="1"/>
  <c r="G237" i="6" s="1"/>
  <c r="O173" i="6"/>
  <c r="O174" i="6"/>
  <c r="G158" i="5"/>
  <c r="G157" i="5"/>
  <c r="G162" i="5"/>
  <c r="G163" i="5" s="1"/>
  <c r="G213" i="5" s="1"/>
  <c r="E213" i="5"/>
  <c r="F226" i="5"/>
  <c r="T168" i="5"/>
  <c r="W174" i="6"/>
  <c r="W173" i="6"/>
  <c r="W178" i="6"/>
  <c r="W179" i="6" s="1"/>
  <c r="G245" i="6" s="1"/>
  <c r="E245" i="6"/>
  <c r="U174" i="6"/>
  <c r="U173" i="6"/>
  <c r="U178" i="6"/>
  <c r="U179" i="6" s="1"/>
  <c r="G243" i="6" s="1"/>
  <c r="E243" i="6"/>
  <c r="E182" i="4"/>
  <c r="E180" i="4"/>
  <c r="F5" i="7" s="1"/>
  <c r="E155" i="4"/>
  <c r="E166" i="4"/>
  <c r="E219" i="4"/>
  <c r="M162" i="4"/>
  <c r="M163" i="4" s="1"/>
  <c r="G219" i="4" s="1"/>
  <c r="M157" i="4"/>
  <c r="M158" i="4"/>
  <c r="T162" i="4"/>
  <c r="T163" i="4" s="1"/>
  <c r="G226" i="4" s="1"/>
  <c r="T158" i="4"/>
  <c r="T157" i="4"/>
  <c r="E226" i="4"/>
  <c r="F158" i="4"/>
  <c r="F157" i="4"/>
  <c r="F162" i="4"/>
  <c r="F163" i="4" s="1"/>
  <c r="G212" i="4" s="1"/>
  <c r="E212" i="4"/>
  <c r="I158" i="4"/>
  <c r="I162" i="4"/>
  <c r="I163" i="4" s="1"/>
  <c r="G215" i="4" s="1"/>
  <c r="E215" i="4"/>
  <c r="H166" i="4"/>
  <c r="H167" i="4" s="1"/>
  <c r="H155" i="4"/>
  <c r="H152" i="4"/>
  <c r="Q157" i="4"/>
  <c r="Q162" i="4"/>
  <c r="Q163" i="4" s="1"/>
  <c r="G223" i="4" s="1"/>
  <c r="Q158" i="4"/>
  <c r="F223" i="4" s="1"/>
  <c r="E223" i="4"/>
  <c r="E216" i="4"/>
  <c r="J158" i="4"/>
  <c r="J162" i="4"/>
  <c r="J163" i="4" s="1"/>
  <c r="G216" i="4" s="1"/>
  <c r="J157" i="4"/>
  <c r="G158" i="4"/>
  <c r="G162" i="4"/>
  <c r="G163" i="4" s="1"/>
  <c r="G213" i="4" s="1"/>
  <c r="E213" i="4"/>
  <c r="G157" i="4"/>
  <c r="E230" i="4"/>
  <c r="X162" i="4"/>
  <c r="X163" i="4" s="1"/>
  <c r="G230" i="4" s="1"/>
  <c r="X157" i="4"/>
  <c r="X158" i="4"/>
  <c r="U158" i="4"/>
  <c r="U157" i="4"/>
  <c r="U162" i="4"/>
  <c r="U163" i="4" s="1"/>
  <c r="G227" i="4" s="1"/>
  <c r="E227" i="4"/>
  <c r="E229" i="4"/>
  <c r="W158" i="4"/>
  <c r="W157" i="4"/>
  <c r="W162" i="4"/>
  <c r="W163" i="4" s="1"/>
  <c r="G229" i="4" s="1"/>
  <c r="E222" i="4"/>
  <c r="P158" i="4"/>
  <c r="F222" i="4" s="1"/>
  <c r="P162" i="4"/>
  <c r="P163" i="4" s="1"/>
  <c r="G222" i="4" s="1"/>
  <c r="P157" i="4"/>
  <c r="E228" i="4"/>
  <c r="V162" i="4"/>
  <c r="V163" i="4" s="1"/>
  <c r="G228" i="4" s="1"/>
  <c r="V157" i="4"/>
  <c r="V158" i="4"/>
  <c r="O158" i="4"/>
  <c r="F221" i="4" s="1"/>
  <c r="O157" i="4"/>
  <c r="O162" i="4"/>
  <c r="O163" i="4" s="1"/>
  <c r="G221" i="4" s="1"/>
  <c r="E221" i="4"/>
  <c r="P168" i="4"/>
  <c r="O168" i="4"/>
  <c r="G205" i="6"/>
  <c r="S183" i="6"/>
  <c r="E241" i="6"/>
  <c r="G200" i="6"/>
  <c r="G17" i="7" s="1"/>
  <c r="S178" i="6"/>
  <c r="S179" i="6" s="1"/>
  <c r="S173" i="6"/>
  <c r="G201" i="6" s="1"/>
  <c r="I213" i="6"/>
  <c r="I216" i="6"/>
  <c r="I218" i="6"/>
  <c r="I214" i="6"/>
  <c r="I215" i="6"/>
  <c r="I212" i="6"/>
  <c r="I217" i="6"/>
  <c r="S174" i="6"/>
  <c r="S167" i="5"/>
  <c r="G189" i="5"/>
  <c r="I199" i="5"/>
  <c r="I202" i="5"/>
  <c r="I201" i="5"/>
  <c r="I196" i="5"/>
  <c r="I200" i="5"/>
  <c r="I197" i="5"/>
  <c r="I198" i="5"/>
  <c r="G184" i="5"/>
  <c r="G12" i="7" s="1"/>
  <c r="E225" i="5"/>
  <c r="S162" i="5"/>
  <c r="S163" i="5" s="1"/>
  <c r="S157" i="5"/>
  <c r="G185" i="5" s="1"/>
  <c r="S158" i="5"/>
  <c r="S168" i="5" s="1"/>
  <c r="F189" i="5"/>
  <c r="L167" i="5"/>
  <c r="F201" i="5"/>
  <c r="F184" i="5"/>
  <c r="G11" i="7" s="1"/>
  <c r="F199" i="5"/>
  <c r="F202" i="5"/>
  <c r="F200" i="5"/>
  <c r="F197" i="5"/>
  <c r="E218" i="5"/>
  <c r="F198" i="5"/>
  <c r="F196" i="5"/>
  <c r="L162" i="5"/>
  <c r="L163" i="5" s="1"/>
  <c r="L157" i="5"/>
  <c r="F185" i="5" s="1"/>
  <c r="L158" i="5"/>
  <c r="E189" i="5"/>
  <c r="E167" i="5"/>
  <c r="C197" i="5"/>
  <c r="C200" i="5"/>
  <c r="C196" i="5"/>
  <c r="C201" i="5"/>
  <c r="E184" i="5"/>
  <c r="G10" i="7" s="1"/>
  <c r="C202" i="5"/>
  <c r="C198" i="5"/>
  <c r="E211" i="5"/>
  <c r="C199" i="5"/>
  <c r="E162" i="5"/>
  <c r="E163" i="5" s="1"/>
  <c r="E157" i="5"/>
  <c r="E185" i="5" s="1"/>
  <c r="E158" i="5"/>
  <c r="E227" i="6"/>
  <c r="E200" i="6"/>
  <c r="G15" i="7" s="1"/>
  <c r="E178" i="6"/>
  <c r="E179" i="6" s="1"/>
  <c r="E173" i="6"/>
  <c r="E201" i="6" s="1"/>
  <c r="C217" i="6"/>
  <c r="C218" i="6"/>
  <c r="C216" i="6"/>
  <c r="C215" i="6"/>
  <c r="C213" i="6"/>
  <c r="C212" i="6"/>
  <c r="C214" i="6"/>
  <c r="E174" i="6"/>
  <c r="E205" i="6"/>
  <c r="E183" i="6"/>
  <c r="K158" i="5"/>
  <c r="K157" i="5"/>
  <c r="K162" i="5"/>
  <c r="K163" i="5" s="1"/>
  <c r="G217" i="5" s="1"/>
  <c r="E217" i="5"/>
  <c r="Y158" i="4"/>
  <c r="Y157" i="4"/>
  <c r="Y162" i="4"/>
  <c r="Y163" i="4" s="1"/>
  <c r="G231" i="4" s="1"/>
  <c r="E231" i="4"/>
  <c r="E225" i="4"/>
  <c r="I197" i="4"/>
  <c r="I196" i="4"/>
  <c r="I200" i="4"/>
  <c r="I199" i="4"/>
  <c r="I198" i="4"/>
  <c r="G184" i="4"/>
  <c r="G7" i="7" s="1"/>
  <c r="S162" i="4"/>
  <c r="S163" i="4" s="1"/>
  <c r="S157" i="4"/>
  <c r="G185" i="4" s="1"/>
  <c r="S158" i="4"/>
  <c r="S168" i="4" s="1"/>
  <c r="G189" i="4"/>
  <c r="S167" i="4"/>
  <c r="R158" i="4"/>
  <c r="R157" i="4"/>
  <c r="R162" i="4"/>
  <c r="R163" i="4" s="1"/>
  <c r="G224" i="4" s="1"/>
  <c r="E224" i="4"/>
  <c r="E218" i="4"/>
  <c r="F200" i="4"/>
  <c r="F199" i="4"/>
  <c r="F197" i="4"/>
  <c r="F198" i="4"/>
  <c r="F196" i="4"/>
  <c r="F184" i="4"/>
  <c r="G6" i="7" s="1"/>
  <c r="L162" i="4"/>
  <c r="L163" i="4" s="1"/>
  <c r="L157" i="4"/>
  <c r="F185" i="4" s="1"/>
  <c r="L158" i="4"/>
  <c r="L168" i="4" s="1"/>
  <c r="F189" i="4"/>
  <c r="L167" i="4"/>
  <c r="E217" i="4"/>
  <c r="K162" i="4"/>
  <c r="K163" i="4" s="1"/>
  <c r="G217" i="4" s="1"/>
  <c r="K157" i="4"/>
  <c r="K158" i="4"/>
  <c r="F235" i="6"/>
  <c r="M184" i="6"/>
  <c r="F221" i="5"/>
  <c r="O168" i="5"/>
  <c r="F216" i="5"/>
  <c r="J168" i="5"/>
  <c r="F168" i="5"/>
  <c r="L184" i="6"/>
  <c r="F228" i="5"/>
  <c r="V168" i="5"/>
  <c r="F220" i="4" l="1"/>
  <c r="N168" i="4"/>
  <c r="F239" i="6"/>
  <c r="Q184" i="6"/>
  <c r="F233" i="6"/>
  <c r="K184" i="6"/>
  <c r="F173" i="6"/>
  <c r="E228" i="6"/>
  <c r="F222" i="5"/>
  <c r="P168" i="5"/>
  <c r="F174" i="6"/>
  <c r="F178" i="6"/>
  <c r="F179" i="6" s="1"/>
  <c r="G228" i="6" s="1"/>
  <c r="F215" i="5"/>
  <c r="I168" i="5"/>
  <c r="G178" i="6"/>
  <c r="G179" i="6" s="1"/>
  <c r="G229" i="6" s="1"/>
  <c r="E229" i="6"/>
  <c r="G174" i="6"/>
  <c r="F229" i="6" s="1"/>
  <c r="F230" i="6"/>
  <c r="H184" i="6"/>
  <c r="F219" i="4"/>
  <c r="M168" i="4"/>
  <c r="G184" i="6"/>
  <c r="F230" i="5"/>
  <c r="X168" i="5"/>
  <c r="F247" i="6"/>
  <c r="Y184" i="6"/>
  <c r="F246" i="6"/>
  <c r="X184" i="6"/>
  <c r="F244" i="6"/>
  <c r="V184" i="6"/>
  <c r="F214" i="5"/>
  <c r="H168" i="5"/>
  <c r="F236" i="6"/>
  <c r="N184" i="6"/>
  <c r="F231" i="6"/>
  <c r="I184" i="6"/>
  <c r="F242" i="6"/>
  <c r="T184" i="6"/>
  <c r="F229" i="5"/>
  <c r="W168" i="5"/>
  <c r="H212" i="6"/>
  <c r="H213" i="6" s="1"/>
  <c r="H214" i="6" s="1"/>
  <c r="H215" i="6" s="1"/>
  <c r="H216" i="6" s="1"/>
  <c r="H217" i="6" s="1"/>
  <c r="H218" i="6" s="1"/>
  <c r="H219" i="6" s="1"/>
  <c r="H220" i="6" s="1"/>
  <c r="H221" i="6" s="1"/>
  <c r="G212" i="6"/>
  <c r="G213" i="6" s="1"/>
  <c r="G214" i="6" s="1"/>
  <c r="G215" i="6" s="1"/>
  <c r="G216" i="6" s="1"/>
  <c r="G217" i="6" s="1"/>
  <c r="G218" i="6" s="1"/>
  <c r="G219" i="6" s="1"/>
  <c r="G220" i="6" s="1"/>
  <c r="G221" i="6" s="1"/>
  <c r="F234" i="6"/>
  <c r="F202" i="6"/>
  <c r="H16" i="7" s="1"/>
  <c r="F227" i="5"/>
  <c r="U168" i="5"/>
  <c r="F220" i="5"/>
  <c r="N168" i="5"/>
  <c r="F219" i="5"/>
  <c r="M168" i="5"/>
  <c r="F223" i="5"/>
  <c r="Q168" i="5"/>
  <c r="F203" i="6"/>
  <c r="I16" i="7" s="1"/>
  <c r="G234" i="6"/>
  <c r="F240" i="6"/>
  <c r="R184" i="6"/>
  <c r="F232" i="6"/>
  <c r="J184" i="6"/>
  <c r="F231" i="5"/>
  <c r="Y168" i="5"/>
  <c r="F238" i="6"/>
  <c r="P184" i="6"/>
  <c r="R158" i="5"/>
  <c r="R157" i="5"/>
  <c r="R162" i="5"/>
  <c r="R163" i="5" s="1"/>
  <c r="G224" i="5" s="1"/>
  <c r="E224" i="5"/>
  <c r="F237" i="6"/>
  <c r="O184" i="6"/>
  <c r="F213" i="5"/>
  <c r="G168" i="5"/>
  <c r="F245" i="6"/>
  <c r="W184" i="6"/>
  <c r="U184" i="6"/>
  <c r="F243" i="6"/>
  <c r="H157" i="4"/>
  <c r="H162" i="4"/>
  <c r="H163" i="4" s="1"/>
  <c r="G214" i="4" s="1"/>
  <c r="F217" i="5"/>
  <c r="K168" i="5"/>
  <c r="C199" i="4"/>
  <c r="C196" i="4"/>
  <c r="C197" i="4"/>
  <c r="E184" i="4"/>
  <c r="G5" i="7" s="1"/>
  <c r="E162" i="4"/>
  <c r="E163" i="4" s="1"/>
  <c r="E157" i="4"/>
  <c r="E185" i="4" s="1"/>
  <c r="E158" i="4"/>
  <c r="E168" i="4" s="1"/>
  <c r="E190" i="4" s="1"/>
  <c r="L5" i="7" s="1"/>
  <c r="E189" i="4"/>
  <c r="E167" i="4"/>
  <c r="E211" i="4"/>
  <c r="C200" i="4"/>
  <c r="C198" i="4"/>
  <c r="E214" i="4"/>
  <c r="H158" i="4"/>
  <c r="F213" i="4"/>
  <c r="G168" i="4"/>
  <c r="F226" i="4"/>
  <c r="T168" i="4"/>
  <c r="F212" i="4"/>
  <c r="F168" i="4"/>
  <c r="F215" i="4"/>
  <c r="I168" i="4"/>
  <c r="F216" i="4"/>
  <c r="J168" i="4"/>
  <c r="F230" i="4"/>
  <c r="X168" i="4"/>
  <c r="F227" i="4"/>
  <c r="U168" i="4"/>
  <c r="F224" i="4"/>
  <c r="R168" i="4"/>
  <c r="W168" i="4"/>
  <c r="F229" i="4"/>
  <c r="F231" i="4"/>
  <c r="Y168" i="4"/>
  <c r="V168" i="4"/>
  <c r="F228" i="4"/>
  <c r="B235" i="4"/>
  <c r="F190" i="4"/>
  <c r="L6" i="7" s="1"/>
  <c r="G241" i="6"/>
  <c r="G203" i="6"/>
  <c r="I17" i="7" s="1"/>
  <c r="K212" i="6"/>
  <c r="K213" i="6" s="1"/>
  <c r="K214" i="6" s="1"/>
  <c r="K215" i="6" s="1"/>
  <c r="K216" i="6" s="1"/>
  <c r="K217" i="6" s="1"/>
  <c r="K218" i="6" s="1"/>
  <c r="K219" i="6" s="1"/>
  <c r="K220" i="6" s="1"/>
  <c r="K221" i="6" s="1"/>
  <c r="J212" i="6"/>
  <c r="J213" i="6" s="1"/>
  <c r="J214" i="6" s="1"/>
  <c r="J215" i="6" s="1"/>
  <c r="J216" i="6" s="1"/>
  <c r="J217" i="6" s="1"/>
  <c r="J218" i="6" s="1"/>
  <c r="J219" i="6" s="1"/>
  <c r="J220" i="6" s="1"/>
  <c r="J221" i="6" s="1"/>
  <c r="F241" i="6"/>
  <c r="G202" i="6"/>
  <c r="H17" i="7" s="1"/>
  <c r="K196" i="5"/>
  <c r="K197" i="5" s="1"/>
  <c r="K198" i="5" s="1"/>
  <c r="K199" i="5" s="1"/>
  <c r="K200" i="5" s="1"/>
  <c r="K201" i="5" s="1"/>
  <c r="K202" i="5" s="1"/>
  <c r="K203" i="5" s="1"/>
  <c r="K204" i="5" s="1"/>
  <c r="K205" i="5" s="1"/>
  <c r="J196" i="5"/>
  <c r="J197" i="5" s="1"/>
  <c r="J198" i="5" s="1"/>
  <c r="J199" i="5" s="1"/>
  <c r="J200" i="5" s="1"/>
  <c r="J201" i="5" s="1"/>
  <c r="J202" i="5" s="1"/>
  <c r="J203" i="5" s="1"/>
  <c r="J204" i="5" s="1"/>
  <c r="J205" i="5" s="1"/>
  <c r="G225" i="5"/>
  <c r="G187" i="5"/>
  <c r="I12" i="7" s="1"/>
  <c r="F225" i="5"/>
  <c r="G186" i="5"/>
  <c r="H12" i="7" s="1"/>
  <c r="G196" i="5"/>
  <c r="G197" i="5" s="1"/>
  <c r="G198" i="5" s="1"/>
  <c r="G199" i="5" s="1"/>
  <c r="G200" i="5" s="1"/>
  <c r="G201" i="5" s="1"/>
  <c r="G202" i="5" s="1"/>
  <c r="G203" i="5" s="1"/>
  <c r="G204" i="5" s="1"/>
  <c r="G205" i="5" s="1"/>
  <c r="H196" i="5"/>
  <c r="H197" i="5" s="1"/>
  <c r="H198" i="5" s="1"/>
  <c r="H199" i="5" s="1"/>
  <c r="H200" i="5" s="1"/>
  <c r="H201" i="5" s="1"/>
  <c r="H202" i="5" s="1"/>
  <c r="H203" i="5" s="1"/>
  <c r="H204" i="5" s="1"/>
  <c r="H205" i="5" s="1"/>
  <c r="F187" i="5"/>
  <c r="I11" i="7" s="1"/>
  <c r="G218" i="5"/>
  <c r="F218" i="5"/>
  <c r="F186" i="5"/>
  <c r="H11" i="7" s="1"/>
  <c r="E196" i="5"/>
  <c r="E197" i="5" s="1"/>
  <c r="E198" i="5" s="1"/>
  <c r="E199" i="5" s="1"/>
  <c r="E200" i="5" s="1"/>
  <c r="E201" i="5" s="1"/>
  <c r="E202" i="5" s="1"/>
  <c r="E203" i="5" s="1"/>
  <c r="E204" i="5" s="1"/>
  <c r="E205" i="5" s="1"/>
  <c r="D196" i="5"/>
  <c r="D197" i="5" s="1"/>
  <c r="D198" i="5" s="1"/>
  <c r="D199" i="5" s="1"/>
  <c r="D200" i="5" s="1"/>
  <c r="D201" i="5" s="1"/>
  <c r="D202" i="5" s="1"/>
  <c r="D203" i="5" s="1"/>
  <c r="D204" i="5" s="1"/>
  <c r="D205" i="5" s="1"/>
  <c r="E187" i="5"/>
  <c r="I10" i="7" s="1"/>
  <c r="G211" i="5"/>
  <c r="E186" i="5"/>
  <c r="H10" i="7" s="1"/>
  <c r="F211" i="5"/>
  <c r="G227" i="6"/>
  <c r="E203" i="6"/>
  <c r="I15" i="7" s="1"/>
  <c r="E212" i="6"/>
  <c r="E213" i="6" s="1"/>
  <c r="E214" i="6" s="1"/>
  <c r="E215" i="6" s="1"/>
  <c r="E216" i="6" s="1"/>
  <c r="E217" i="6" s="1"/>
  <c r="E218" i="6" s="1"/>
  <c r="E219" i="6" s="1"/>
  <c r="E220" i="6" s="1"/>
  <c r="E221" i="6" s="1"/>
  <c r="D212" i="6"/>
  <c r="D213" i="6" s="1"/>
  <c r="D214" i="6" s="1"/>
  <c r="D215" i="6" s="1"/>
  <c r="D216" i="6" s="1"/>
  <c r="D217" i="6" s="1"/>
  <c r="D218" i="6" s="1"/>
  <c r="D219" i="6" s="1"/>
  <c r="D220" i="6" s="1"/>
  <c r="D221" i="6" s="1"/>
  <c r="F227" i="6"/>
  <c r="E202" i="6"/>
  <c r="H15" i="7" s="1"/>
  <c r="J196" i="4"/>
  <c r="J197" i="4" s="1"/>
  <c r="J198" i="4" s="1"/>
  <c r="J199" i="4" s="1"/>
  <c r="J200" i="4" s="1"/>
  <c r="J201" i="4" s="1"/>
  <c r="J202" i="4" s="1"/>
  <c r="J203" i="4" s="1"/>
  <c r="J204" i="4" s="1"/>
  <c r="J205" i="4" s="1"/>
  <c r="K196" i="4"/>
  <c r="K197" i="4" s="1"/>
  <c r="K198" i="4" s="1"/>
  <c r="K199" i="4" s="1"/>
  <c r="K200" i="4" s="1"/>
  <c r="K201" i="4" s="1"/>
  <c r="K202" i="4" s="1"/>
  <c r="K203" i="4" s="1"/>
  <c r="K204" i="4" s="1"/>
  <c r="K205" i="4" s="1"/>
  <c r="G225" i="4"/>
  <c r="G187" i="4"/>
  <c r="I7" i="7" s="1"/>
  <c r="F225" i="4"/>
  <c r="G186" i="4"/>
  <c r="H7" i="7" s="1"/>
  <c r="G196" i="4"/>
  <c r="G197" i="4" s="1"/>
  <c r="G198" i="4" s="1"/>
  <c r="G199" i="4" s="1"/>
  <c r="G200" i="4" s="1"/>
  <c r="G201" i="4" s="1"/>
  <c r="G202" i="4" s="1"/>
  <c r="G203" i="4" s="1"/>
  <c r="G204" i="4" s="1"/>
  <c r="G205" i="4" s="1"/>
  <c r="H196" i="4"/>
  <c r="H197" i="4" s="1"/>
  <c r="H198" i="4" s="1"/>
  <c r="H199" i="4" s="1"/>
  <c r="H200" i="4" s="1"/>
  <c r="H201" i="4" s="1"/>
  <c r="H202" i="4" s="1"/>
  <c r="H203" i="4" s="1"/>
  <c r="H204" i="4" s="1"/>
  <c r="H205" i="4" s="1"/>
  <c r="G218" i="4"/>
  <c r="F187" i="4"/>
  <c r="I6" i="7" s="1"/>
  <c r="F218" i="4"/>
  <c r="F186" i="4"/>
  <c r="H6" i="7" s="1"/>
  <c r="S184" i="6"/>
  <c r="G206" i="6" s="1"/>
  <c r="L17" i="7" s="1"/>
  <c r="B252" i="6"/>
  <c r="B236" i="5"/>
  <c r="G190" i="5"/>
  <c r="L12" i="7" s="1"/>
  <c r="L168" i="5"/>
  <c r="E168" i="5"/>
  <c r="E184" i="6"/>
  <c r="B236" i="4"/>
  <c r="G190" i="4"/>
  <c r="L7" i="7" s="1"/>
  <c r="F217" i="4"/>
  <c r="K168" i="4"/>
  <c r="F206" i="6"/>
  <c r="L16" i="7" s="1"/>
  <c r="B251" i="6"/>
  <c r="F228" i="6" l="1"/>
  <c r="F184" i="6"/>
  <c r="H223" i="6"/>
  <c r="H222" i="6"/>
  <c r="J16" i="7" s="1"/>
  <c r="F214" i="4"/>
  <c r="H168" i="4"/>
  <c r="F224" i="5"/>
  <c r="R168" i="5"/>
  <c r="B234" i="4"/>
  <c r="E196" i="4"/>
  <c r="E197" i="4" s="1"/>
  <c r="E198" i="4" s="1"/>
  <c r="E199" i="4" s="1"/>
  <c r="E200" i="4" s="1"/>
  <c r="E201" i="4" s="1"/>
  <c r="E202" i="4" s="1"/>
  <c r="E203" i="4" s="1"/>
  <c r="E204" i="4" s="1"/>
  <c r="E205" i="4" s="1"/>
  <c r="D196" i="4"/>
  <c r="D197" i="4" s="1"/>
  <c r="D198" i="4" s="1"/>
  <c r="D199" i="4" s="1"/>
  <c r="D200" i="4" s="1"/>
  <c r="D201" i="4" s="1"/>
  <c r="D202" i="4" s="1"/>
  <c r="D203" i="4" s="1"/>
  <c r="D204" i="4" s="1"/>
  <c r="D205" i="4" s="1"/>
  <c r="G211" i="4"/>
  <c r="E187" i="4"/>
  <c r="I5" i="7" s="1"/>
  <c r="F211" i="4"/>
  <c r="E186" i="4"/>
  <c r="H5" i="7" s="1"/>
  <c r="F190" i="5"/>
  <c r="L11" i="7" s="1"/>
  <c r="B235" i="5"/>
  <c r="K223" i="6"/>
  <c r="K222" i="6"/>
  <c r="J17" i="7" s="1"/>
  <c r="K207" i="5"/>
  <c r="K206" i="5"/>
  <c r="J12" i="7" s="1"/>
  <c r="H206" i="5"/>
  <c r="J11" i="7" s="1"/>
  <c r="H207" i="5"/>
  <c r="E207" i="5"/>
  <c r="E206" i="5"/>
  <c r="J10" i="7" s="1"/>
  <c r="E223" i="6"/>
  <c r="E222" i="6"/>
  <c r="J15" i="7" s="1"/>
  <c r="K207" i="4"/>
  <c r="K206" i="4"/>
  <c r="J7" i="7" s="1"/>
  <c r="H207" i="4"/>
  <c r="H206" i="4"/>
  <c r="J6" i="7" s="1"/>
  <c r="E190" i="5"/>
  <c r="L10" i="7" s="1"/>
  <c r="B234" i="5"/>
  <c r="E206" i="6"/>
  <c r="L15" i="7" s="1"/>
  <c r="B250" i="6"/>
  <c r="E206" i="4" l="1"/>
  <c r="J5" i="7" s="1"/>
  <c r="E207" i="4"/>
</calcChain>
</file>

<file path=xl/sharedStrings.xml><?xml version="1.0" encoding="utf-8"?>
<sst xmlns="http://schemas.openxmlformats.org/spreadsheetml/2006/main" count="3129" uniqueCount="1142">
  <si>
    <t>ЭКОНОМИЧЕСКАЯ МОДЕЛЬ ПЛАТФОРМЫ ПОДБОРА РОБОТИЗИРОВАННЫХ РЕШЕНИЙ (кейс ФЦ БАС) — v1.1</t>
  </si>
  <si>
    <t>Назначение</t>
  </si>
  <si>
    <t>Прозрачная расчётная модель по п. 3.5 ТЗ: состав оборудования, CAPEX, OPEX, годовой эффект, срок окупаемости, ROI, TCO, чувствительность, интерпретация. Один лист = один тип объекта (Склад / Аэропорт / Медучреждение).</t>
  </si>
  <si>
    <t>Как читать листы объектов</t>
  </si>
  <si>
    <t>Блок 1 — параметры объекта из демо-датасета (Датасеты_хакатон.xlsx). Блок 2 — параметры процесса и допущения команды. Блок 3 — расчётный движок: каждая колонка = один прогон сценария (решение × модель приобретения × вариант чувствительности). Блок 4 — сравнение сценариев. Блок 5 — денежный поток по годам. Блок 6 — чувствительность. Блок 7 — заключение.</t>
  </si>
  <si>
    <t>Цветовая легенда</t>
  </si>
  <si>
    <t>Синий шрифт — вводимые значения (из датасета или каталога). Жёлтая заливка — допущения команды (обязательно документированы в столбце «Источник»). Чёрный — формулы. Зелёный — ссылки на другой лист. Зелёная заливка — ключевые результаты.</t>
  </si>
  <si>
    <t>Что менять</t>
  </si>
  <si>
    <t>Меняйте только синие ячейки (столбец «Значение») на листах Склад / Аэропорт / Медучреждение / Нормативы / Каталог. Все результаты пересчитываются автоматически. Диапазоны min/max — для валидации ввода в платформе.</t>
  </si>
  <si>
    <t>Сценарии</t>
  </si>
  <si>
    <t>Базовый (без роботизации) + не менее двух роботизированных: «Покупка» (CAPEX у заказчика) и «RaaS» (аренда/роботы как услуга: ежемесячный платёж, CAPEX только на интеграцию и подготовку объекта). Для каждого объекта также добавлен альтернативный продукт (Покупка B).</t>
  </si>
  <si>
    <t>Источники данных</t>
  </si>
  <si>
    <t>Датасет: Датасеты_хакатон.xlsx (листы Склад/Аэропорт/Медучреждение). Цены: catalog_export_v4.csv (столбец «Цена изделия», с НДС, без доставки и ПНР — Дополнения п.6). ТТХ: Примеры_решений_типы_объектов.docx и описания в каталоге. Формулы: ТЗ п.3.5, Дополнения п.2.</t>
  </si>
  <si>
    <t>Ограничение</t>
  </si>
  <si>
    <t>Результат является предварительной оценкой (экспресс-предынвестиционная) и требует верификации при обследовании объекта (ТЗ п.3.7.5).</t>
  </si>
  <si>
    <t>Версия модели</t>
  </si>
  <si>
    <t>v1.1 от 17.09.2026. Изменения к v1.0: в каталог добавлены поля «класс задачи», «способ обработки груза», «допуск в помещения»; коэффициент замещения труда задаётся парой «задача × способ обработки» (блок 2), а не роботом; добавлены фильтры класса задачи, способа обработки и допуска в помещения. Демо-результаты не изменились. Версия исходных данных: датасет (хакатон), каталог v4.</t>
  </si>
  <si>
    <t>ГЛОБАЛЬНЫЕ НОРМАТИВЫ И ДОПУЩЕНИЯ (используются всеми объектами)</t>
  </si>
  <si>
    <t>Код (имя ячейки)</t>
  </si>
  <si>
    <t>Норматив</t>
  </si>
  <si>
    <t>Ед. изм.</t>
  </si>
  <si>
    <t>Значение</t>
  </si>
  <si>
    <t>Min</t>
  </si>
  <si>
    <t>Max</t>
  </si>
  <si>
    <t>Источник / обоснование</t>
  </si>
  <si>
    <t>Тип</t>
  </si>
  <si>
    <t>N_fot</t>
  </si>
  <si>
    <t>Коэффициент начислений на ФОТ (страховые взносы)</t>
  </si>
  <si>
    <t>коэф.</t>
  </si>
  <si>
    <t>Датасет (все листы): ОПФ 22% + ОМС 5.1% + ОСС 2.9% + НСиПЗ 0.2% = 30.2%</t>
  </si>
  <si>
    <t>норматив/датасет</t>
  </si>
  <si>
    <t>N_util</t>
  </si>
  <si>
    <t>Коэффициент загрузки робота (доля продуктивного времени: зарядка, ожидание, простои)</t>
  </si>
  <si>
    <t>доля</t>
  </si>
  <si>
    <t>Датасет, лист «Легенда»: типовой KPI AMR 70–85%</t>
  </si>
  <si>
    <t>N_avail</t>
  </si>
  <si>
    <t>Коэффициент технической готовности (доступности) робота</t>
  </si>
  <si>
    <t>Допущение команды: плановое ТО и отказы; типовой SLA вендоров 95–98%</t>
  </si>
  <si>
    <t>допущение</t>
  </si>
  <si>
    <t>N_reserve</t>
  </si>
  <si>
    <t>Резерв парка роботов на пиковую нагрузку</t>
  </si>
  <si>
    <t>Датасет, лист «Легенда»: резерв 15–20%</t>
  </si>
  <si>
    <t>N_kv</t>
  </si>
  <si>
    <t>Отношение средней эксплуатационной скорости к максимальной (разгон, повороты, трафик, зоны людей)</t>
  </si>
  <si>
    <t>Допущение команды (практика проектов AMR); проверяется имитацией</t>
  </si>
  <si>
    <t>N_charger_ratio</t>
  </si>
  <si>
    <t>Роботов на одну зарядную станцию</t>
  </si>
  <si>
    <t>шт./станцию</t>
  </si>
  <si>
    <t>Допущение команды (opportunity charging)</t>
  </si>
  <si>
    <t>N_charger_price</t>
  </si>
  <si>
    <t>Стоимость зарядной станции с монтажом</t>
  </si>
  <si>
    <t>руб.</t>
  </si>
  <si>
    <t>Допущение команды (оценка рынка)</t>
  </si>
  <si>
    <t>N_charger_kw</t>
  </si>
  <si>
    <t>Мощность одной зарядной станции</t>
  </si>
  <si>
    <t>кВт</t>
  </si>
  <si>
    <t>Допущение команды (типовые станции AMR 3–10 кВт)</t>
  </si>
  <si>
    <t>N_sw_pct</t>
  </si>
  <si>
    <t>ПО управления флотом (FMS), разовая лицензия и внедрение, % от стоимости оборудования</t>
  </si>
  <si>
    <t>Допущение команды</t>
  </si>
  <si>
    <t>N_delivery_pct</t>
  </si>
  <si>
    <t>Доставка оборудования, % от стоимости оборудования</t>
  </si>
  <si>
    <t>Допущение команды; Дополнения п.6: доставка не включена в цену</t>
  </si>
  <si>
    <t>N_pnr_pct</t>
  </si>
  <si>
    <t>Пусконаладочные работы, % от стоимости оборудования</t>
  </si>
  <si>
    <t>Допущение команды; Дополнения п.6: ПНР не включены в цену</t>
  </si>
  <si>
    <t>N_training</t>
  </si>
  <si>
    <t>Обучение персонала заказчика (разово на проект)</t>
  </si>
  <si>
    <t>N_capex_reserve</t>
  </si>
  <si>
    <t>Резерв на непредвиденные расходы, % от CAPEX</t>
  </si>
  <si>
    <t>Датасет, лист «Легенда»: резерв 10%</t>
  </si>
  <si>
    <t>N_service_pct</t>
  </si>
  <si>
    <t>Сервисный контракт вендора, % от стоимости оборудования в год</t>
  </si>
  <si>
    <t>доля/год</t>
  </si>
  <si>
    <t>Допущение команды (отраслевой диапазон 5–10%)</t>
  </si>
  <si>
    <t>N_license_pct</t>
  </si>
  <si>
    <t>Лицензии ПО (подписка FMS), % от стоимости оборудования в год</t>
  </si>
  <si>
    <t>N_repair_pct</t>
  </si>
  <si>
    <t>Внеплановый ремонт и запчасти вне контракта, % от стоимости оборудования в год</t>
  </si>
  <si>
    <t>N_energy_price</t>
  </si>
  <si>
    <t>Тариф на электроэнергию</t>
  </si>
  <si>
    <t>руб./кВт·ч</t>
  </si>
  <si>
    <t>Допущение команды (средний тариф для юрлиц; уточнить по объекту)</t>
  </si>
  <si>
    <t>N_battery_life</t>
  </si>
  <si>
    <t>Срок службы АКБ до замены</t>
  </si>
  <si>
    <t>лет</t>
  </si>
  <si>
    <t>Датасет, лист «Легенда»: замена АКБ раз в 3–5 лет</t>
  </si>
  <si>
    <t>N_battery_share</t>
  </si>
  <si>
    <t>Стоимость комплекта АКБ на замену, % от цены робота</t>
  </si>
  <si>
    <t>N_connect</t>
  </si>
  <si>
    <t>Связь / поддержка Wi-Fi-инфраструктуры для флота (на объект в год)</t>
  </si>
  <si>
    <t>руб./год</t>
  </si>
  <si>
    <t>N_life</t>
  </si>
  <si>
    <t>Срок службы оборудования (амортизационный период, линейный метод)</t>
  </si>
  <si>
    <t>Дополнения п.2.2: метод и срок выбирает команда; принят линейный метод, 7 лет</t>
  </si>
  <si>
    <t>N_raas_pct</t>
  </si>
  <si>
    <t>Ставка RaaS (аренда), % от цены робота в месяц; включает сервис, ПО и замену АКБ</t>
  </si>
  <si>
    <t>доля/мес</t>
  </si>
  <si>
    <t>Допущение команды (рыночные предложения RaaS/лизинга роботов: 2.5–4%/мес)</t>
  </si>
  <si>
    <t>N_raas_setup</t>
  </si>
  <si>
    <t>Установочный платёж RaaS (монтаж и запуск), % от цены оборудования</t>
  </si>
  <si>
    <t>N_hire_cost</t>
  </si>
  <si>
    <t>Стоимость замены одного сотрудника (подбор + адаптация), в месячных окладах</t>
  </si>
  <si>
    <t>окладов</t>
  </si>
  <si>
    <t>Допущение команды (HR-бенчмарк)</t>
  </si>
  <si>
    <t>N_discount</t>
  </si>
  <si>
    <t>Ставка дисконтирования (справочно, для NPV)</t>
  </si>
  <si>
    <t>N_loan_share</t>
  </si>
  <si>
    <t>Доля заёмного финансирования CAPEX (0 = собственные средства — базовый сценарий)</t>
  </si>
  <si>
    <t>Дополнения п.2.1: база — собственные средства; заёмные — опционально</t>
  </si>
  <si>
    <t>N_loan_rate</t>
  </si>
  <si>
    <t>Ставка по кредиту (если используется заёмное финансирование)</t>
  </si>
  <si>
    <t>Допущение команды — уточнить на дату расчёта</t>
  </si>
  <si>
    <t>N_loan_years</t>
  </si>
  <si>
    <t>Срок кредита (равные платежи по телу долга)</t>
  </si>
  <si>
    <t>N_pb_good</t>
  </si>
  <si>
    <t>Граница «высокой целесообразности»: срок окупаемости до, лет</t>
  </si>
  <si>
    <t>ТЗ п.3.5.7: интервалы до 3 / 3–5 / более 5 лет</t>
  </si>
  <si>
    <t>N_pb_mid</t>
  </si>
  <si>
    <t>Граница «средней целесообразности»: срок окупаемости до, лет</t>
  </si>
  <si>
    <t>ТЗ п.3.5.7</t>
  </si>
  <si>
    <t>N_sens</t>
  </si>
  <si>
    <t>Шаг анализа чувствительности (±)</t>
  </si>
  <si>
    <t>Допущение команды (ТЗ п.3.5.6 — минимум 3 параметра)</t>
  </si>
  <si>
    <t>N_loss_k_default</t>
  </si>
  <si>
    <t>Коэффициент потерь рабочего времени персонала (отпуск, болезнь) — по умолчанию для объектов без данных</t>
  </si>
  <si>
    <t>Датасет «Склад»: 25%; для аэропорта и медучреждения применён как допущение</t>
  </si>
  <si>
    <t>КАТАЛОГ РЕШЕНИЙ (выборка для демо): цены — catalog_export_v4.csv; ТТХ — Примеры_решений_типы_объектов.docx / описания каталога / допущения</t>
  </si>
  <si>
    <t>Код решения</t>
  </si>
  <si>
    <t>Наименование</t>
  </si>
  <si>
    <t>Производитель</t>
  </si>
  <si>
    <t>Подтип</t>
  </si>
  <si>
    <t>Сценарий (каталог)</t>
  </si>
  <si>
    <t>Статус (каталог)</t>
  </si>
  <si>
    <t>УГТ</t>
  </si>
  <si>
    <t>Рын. потенциал</t>
  </si>
  <si>
    <t>Цена изделия, руб. (с НДС)</t>
  </si>
  <si>
    <t>Грузоподъёмность, кг</t>
  </si>
  <si>
    <t>Макс. скорость, м/с</t>
  </si>
  <si>
    <t>Автономность, ч</t>
  </si>
  <si>
    <t>Время зарядки, мин</t>
  </si>
  <si>
    <t>Длина, мм</t>
  </si>
  <si>
    <t>Ширина, мм</t>
  </si>
  <si>
    <t>Высота, мм</t>
  </si>
  <si>
    <t>Темп. мин, °C</t>
  </si>
  <si>
    <t>Темп. макс, °C</t>
  </si>
  <si>
    <t>Ср. потребляемая мощность, кВт</t>
  </si>
  <si>
    <t>Заявленная производительность (справочно)</t>
  </si>
  <si>
    <t>Время загрузки, с</t>
  </si>
  <si>
    <t>Время разгрузки, с</t>
  </si>
  <si>
    <t>Коэф. замещения (справочно; в расчёте — по паре задача×способ обработки, блок 2 листа объекта)</t>
  </si>
  <si>
    <t>Уличная эксплуатация (1/0)</t>
  </si>
  <si>
    <t>Допуск в помещения (1/0)</t>
  </si>
  <si>
    <t>Способ обработки груза</t>
  </si>
  <si>
    <t>Класс задачи</t>
  </si>
  <si>
    <t>Тип навигации</t>
  </si>
  <si>
    <t>Источник ТТХ</t>
  </si>
  <si>
    <t>ТТХ подтверждены</t>
  </si>
  <si>
    <t>Дата актуализации</t>
  </si>
  <si>
    <t>Примечание / допущения</t>
  </si>
  <si>
    <t>DMR-CARRIER-P</t>
  </si>
  <si>
    <t>DMR Carrier P (FMR, вилочный AMR)</t>
  </si>
  <si>
    <t>ООО "Диком-Сервис"</t>
  </si>
  <si>
    <t>Мобильные роботы</t>
  </si>
  <si>
    <t>FMR</t>
  </si>
  <si>
    <t>Внутрискладская логистика</t>
  </si>
  <si>
    <t>piloting</t>
  </si>
  <si>
    <t>40–60 паллет/ч (типичный проект, докс организатора)</t>
  </si>
  <si>
    <t>вилы</t>
  </si>
  <si>
    <t>транспорт</t>
  </si>
  <si>
    <t>SLAM (лидары)</t>
  </si>
  <si>
    <t>Docx организатора (пример FMR); цена — CSV каталога</t>
  </si>
  <si>
    <t>Частично</t>
  </si>
  <si>
    <t>2026-09-16</t>
  </si>
  <si>
    <t>Габариты в docx даны как В×Ш×Г 2050×1975×1000 — принято: длина 1975, ширина 1000. Время зарядки, темп. диапазон, мощность, времена операций — допущения команды.</t>
  </si>
  <si>
    <t>AK-2000-2</t>
  </si>
  <si>
    <t>AK-2000-2 (FMR)</t>
  </si>
  <si>
    <t>ООО "ГК Автомакон"</t>
  </si>
  <si>
    <t>Автономные наземные ТС</t>
  </si>
  <si>
    <t>operation</t>
  </si>
  <si>
    <t>Кейс: 67 роботов в РЦ X5 «Новая Рига»</t>
  </si>
  <si>
    <t>SLAM</t>
  </si>
  <si>
    <t>ТТХ приняты по аналогу FMR (DMR Carrier P) — ТРЕБУЕТ ПРОВЕРКИ по сайту производителя</t>
  </si>
  <si>
    <t>Нет</t>
  </si>
  <si>
    <t>В каталоге ТТХ отсутствуют; по Дополнениям п.4 недостающие ТТХ заполняются из открытых источников. До подтверждения — решение помечается «требует проверки».</t>
  </si>
  <si>
    <t>RONAVI-H1500</t>
  </si>
  <si>
    <t>Ronavi H1500 (AMR, до 1500 кг)</t>
  </si>
  <si>
    <t>ООО "Ронави Роботикс"</t>
  </si>
  <si>
    <t>AMR</t>
  </si>
  <si>
    <t>80–100 паллет/ч (типовая конфигурация зоны, docx)</t>
  </si>
  <si>
    <t>платформа</t>
  </si>
  <si>
    <t>QR-метки + SLAM</t>
  </si>
  <si>
    <t>Docx организатора; цена — CSV каталога</t>
  </si>
  <si>
    <t>Да</t>
  </si>
  <si>
    <t>Робот подъёмного типа: требует передачи паллет через станции/конвейер (не забирает с пола) — отсюда коэф. замещения 0.6 и повышенная доля подготовки объекта.</t>
  </si>
  <si>
    <t>RONAVI-M</t>
  </si>
  <si>
    <t>Ronavi M (AMR для стеллажей/тележек, до 1200 кг)</t>
  </si>
  <si>
    <t>—</t>
  </si>
  <si>
    <t>Описание каталога (назначение, грузоподъёмность); остальные ТТХ по аналогу H1500 — ТРЕБУЮТ ПРОВЕРКИ</t>
  </si>
  <si>
    <t>Робот с поворотным кругом для транспортировки мобильных стеллажей/столиков — подходит под больничные тележки (подъезд под тележку).</t>
  </si>
  <si>
    <t>MOROS-AMR800</t>
  </si>
  <si>
    <t>AMR 800 (Морос, до 800 кг)</t>
  </si>
  <si>
    <t>ООО "Морос"</t>
  </si>
  <si>
    <t>Кейс: 27 роботов на складах e-commerce</t>
  </si>
  <si>
    <t>Описание каталога (AMR 1500: 1100×600×230, 1.5 м/с, проезд от 680 мм, 22 ч) — приняты по аналогу для AMR 800; ТРЕБУЮТ ПРОВЕРКИ</t>
  </si>
  <si>
    <t>Подходит под перевозку тележек до 800 кг.</t>
  </si>
  <si>
    <t>RONAVI-SD</t>
  </si>
  <si>
    <t>Ronavi SD (AMR, до 10 кг)</t>
  </si>
  <si>
    <t>кузов</t>
  </si>
  <si>
    <t>QR-метки</t>
  </si>
  <si>
    <t>Docx организатора (пример для медучреждения)</t>
  </si>
  <si>
    <t>Мин. ширина проезда 700 мм. Применим только для лёгкой доставки (медикаменты, пробы) — исключается фильтром по грузоподъёмности для процесса «тележки».</t>
  </si>
  <si>
    <t>PUDUBOT-2</t>
  </si>
  <si>
    <t>PuduBot 2 (робот-доставщик)</t>
  </si>
  <si>
    <t>Pudu Robotics (внешний)</t>
  </si>
  <si>
    <t>Робот-доставщик</t>
  </si>
  <si>
    <t>Доставка внутри помещений</t>
  </si>
  <si>
    <t>внешний источник</t>
  </si>
  <si>
    <t>10 кг на полку</t>
  </si>
  <si>
    <t>VSLAM + лазерный SLAM</t>
  </si>
  <si>
    <t>Docx организатора; цены в каталоге ФЦ БАС нет</t>
  </si>
  <si>
    <t>Нет цены в каталоге организатора → в расчёт не включается без ввода цены; отсутствует в реестре отечественных решений.</t>
  </si>
  <si>
    <t>COGNITIVE-TUG</t>
  </si>
  <si>
    <t>Беспилотный тягач (Cognitive Pilot)</t>
  </si>
  <si>
    <t>АО "Когнитив Пилот"</t>
  </si>
  <si>
    <t>Беспилотный тягач</t>
  </si>
  <si>
    <t>Перевозка грузов на закрытых площадках</t>
  </si>
  <si>
    <t>Кейс: 45 тягачей для Пулково (перевозка багажа)</t>
  </si>
  <si>
    <t>буксировка</t>
  </si>
  <si>
    <t>Мультисенсорный автопилот</t>
  </si>
  <si>
    <t>Гибридная СУ: «энергия» смоделирована как эквивалент 6 кВт·ч/ч работы (топливо+электро) — допущение. Скорость принята рабочая 15 км/ч (4.17 м/с) из диапазона 5–25 км/ч. Время сцепки/расцепки тележек 180 с — допущение.</t>
  </si>
  <si>
    <t>EVOCARGO-N1</t>
  </si>
  <si>
    <t>EVOCARGO N1 (беспилотный электрогрузовик)</t>
  </si>
  <si>
    <t>ООО "Эвокарго"</t>
  </si>
  <si>
    <t>Беспилотный грузовик</t>
  </si>
  <si>
    <t>6 европаллет; запас хода 150–200 км</t>
  </si>
  <si>
    <t>Автопилот L4–5</t>
  </si>
  <si>
    <t>Автономность 8 ч оценена из АКБ 36 кВт·ч при 6 кВт·ч/ч (допущение). Скорость принята 20 км/ч (5.56 м/с). Погрузка/разгрузка 240 с — допущение (перегрузка багажных контейнеров).</t>
  </si>
  <si>
    <t>MARK-2-SE</t>
  </si>
  <si>
    <t>MARK 2 SE (робот-уборщик)</t>
  </si>
  <si>
    <t>ООО "Р2Б"</t>
  </si>
  <si>
    <t>Робот-уборщик</t>
  </si>
  <si>
    <t>Уборка помещений</t>
  </si>
  <si>
    <t>до 1000 м²/ч</t>
  </si>
  <si>
    <t>щётки</t>
  </si>
  <si>
    <t>уборка</t>
  </si>
  <si>
    <t>Лидар + камеры</t>
  </si>
  <si>
    <t>Для процесса «уборка» (расчёт по площади, не по рейсам) — в демо-сценарии не используется; включён для полноты каталога и расширения модели.</t>
  </si>
  <si>
    <t>Жёлтая заливка = ТТХ приняты по аналогу или являются допущением команды (Дополнения п.4: заполняются из открытых источников и помечаются как требующие проверки). Коэф. замещения труда, времена загрузки/разгрузки и мощность — экспертные допущения команды для всех решений.</t>
  </si>
  <si>
    <t>ОБЪЕКТ: СКЛАД — процесс: перемещение паллет (приёмка → хранение, хранение → отгрузка)</t>
  </si>
  <si>
    <t>Синие ячейки — ввод; жёлтая заливка — допущения команды; чёрные — формулы. Результаты помечены зелёной заливкой.</t>
  </si>
  <si>
    <t>БЛОК 1. ПАРАМЕТРЫ ОБЪЕКТА (демо-датасет организатора, лист «Склад»)</t>
  </si>
  <si>
    <t>Код</t>
  </si>
  <si>
    <t>Параметр</t>
  </si>
  <si>
    <t>Skl_S_total</t>
  </si>
  <si>
    <t>Общая площадь склада</t>
  </si>
  <si>
    <t>м²</t>
  </si>
  <si>
    <t>Датасет, лист «Склад»</t>
  </si>
  <si>
    <t>датасет</t>
  </si>
  <si>
    <t>Skl_S_active</t>
  </si>
  <si>
    <t>Площадь активной (роботизируемой) зоны</t>
  </si>
  <si>
    <t>Датасет, лист «Склад» (50% общей площади)</t>
  </si>
  <si>
    <t>Skl_aisle_main</t>
  </si>
  <si>
    <t>Ширина главных проездов</t>
  </si>
  <si>
    <t>м</t>
  </si>
  <si>
    <t>Датасет, лист «Склад» — определяет допустимые габариты робота</t>
  </si>
  <si>
    <t>Skl_aisle_rack</t>
  </si>
  <si>
    <t>Ширина рабочих проходов между стеллажами</t>
  </si>
  <si>
    <t>Skl_shifts</t>
  </si>
  <si>
    <t>Количество рабочих смен в сутки</t>
  </si>
  <si>
    <t>смен</t>
  </si>
  <si>
    <t>Skl_shift_h</t>
  </si>
  <si>
    <t>Продолжительность смены (с учётом перерывов)</t>
  </si>
  <si>
    <t>ч</t>
  </si>
  <si>
    <t>Skl_days</t>
  </si>
  <si>
    <t>Рабочих дней в году</t>
  </si>
  <si>
    <t>дн.</t>
  </si>
  <si>
    <t>Skl_peak_k</t>
  </si>
  <si>
    <t>Пиковый коэффициент нагрузки (макс. час / средний час)</t>
  </si>
  <si>
    <t>Skl_in_pallets</t>
  </si>
  <si>
    <t>Объём приёмки</t>
  </si>
  <si>
    <t>поддон/сут</t>
  </si>
  <si>
    <t>Skl_out_pallets</t>
  </si>
  <si>
    <t>Объём отгрузки</t>
  </si>
  <si>
    <t>Skl_forklift_ops</t>
  </si>
  <si>
    <t>Операторы погрузчиков (численность, все смены)</t>
  </si>
  <si>
    <t>чел.</t>
  </si>
  <si>
    <t>Датасет, лист «Склад» — целевая функция для автономных погрузчиков</t>
  </si>
  <si>
    <t>Skl_sal_forklift</t>
  </si>
  <si>
    <t>Средняя з/п оператора погрузчика (gross)</t>
  </si>
  <si>
    <t>руб./мес.</t>
  </si>
  <si>
    <t>Skl_loss_k</t>
  </si>
  <si>
    <t>Коэффициент потерь рабочего времени (отпуск, болезнь, текучесть)</t>
  </si>
  <si>
    <t>Skl_pallet_mass</t>
  </si>
  <si>
    <t>Средняя масса грузовой единицы (паллет)</t>
  </si>
  <si>
    <t>кг</t>
  </si>
  <si>
    <t>Skl_oversize_share</t>
  </si>
  <si>
    <t>Доля негабаритных/нестандартных грузов (остаётся ручной)</t>
  </si>
  <si>
    <t>Skl_power_kw</t>
  </si>
  <si>
    <t>Мощность электроснабжения (доступная)</t>
  </si>
  <si>
    <t>Skl_budget</t>
  </si>
  <si>
    <t>Планируемый бюджет на роботизацию (CAPEX)</t>
  </si>
  <si>
    <t>млн руб.</t>
  </si>
  <si>
    <t>Skl_horizon</t>
  </si>
  <si>
    <t>Горизонт расчёта окупаемости</t>
  </si>
  <si>
    <t>БЛОК 2. ПАРАМЕТРЫ ПРОЦЕССА И ДОПУЩЕНИЯ КОМАНДЫ</t>
  </si>
  <si>
    <t>Skl_ops_day</t>
  </si>
  <si>
    <t>Объём операций процесса = приёмка + отгрузка (перемещение паллет док ↔ зона хранения)</t>
  </si>
  <si>
    <t>оп./сут</t>
  </si>
  <si>
    <t>Формула из датасета</t>
  </si>
  <si>
    <t>формула</t>
  </si>
  <si>
    <t>Skl_auto_share</t>
  </si>
  <si>
    <t>Доля автоматизируемых операций = 1 − доля негабарита</t>
  </si>
  <si>
    <t>Skl_hours_day</t>
  </si>
  <si>
    <t>Часов работы процесса в сутки = смен × продолжительность смены</t>
  </si>
  <si>
    <t>Skl_peak_ops_h</t>
  </si>
  <si>
    <t>Пиковая интенсивность = объём / часов × пиковый коэффициент</t>
  </si>
  <si>
    <t>оп./ч</t>
  </si>
  <si>
    <t>Skl_unit_mass</t>
  </si>
  <si>
    <t>Масса единицы груза (паллет)</t>
  </si>
  <si>
    <t>Датасет</t>
  </si>
  <si>
    <t>Skl_divisible</t>
  </si>
  <si>
    <t>Груз делимый на несколько рейсов (1) / неделимый (0)</t>
  </si>
  <si>
    <t>1/0</t>
  </si>
  <si>
    <t>Допущение: паллет неделим — при недостаточной грузоподъёмности решение исключается</t>
  </si>
  <si>
    <t>Skl_L</t>
  </si>
  <si>
    <t>Средняя длина маршрута (док ↔ ячейка) = √(площадь активной зоны)</t>
  </si>
  <si>
    <t>Допущение команды: средняя дистанция перемещения ≈ корню из площади зоны (проверяется на 2D-схеме)</t>
  </si>
  <si>
    <t>Skl_speed_cap</t>
  </si>
  <si>
    <t>Ограничение скорости на объекте</t>
  </si>
  <si>
    <t>м/с</t>
  </si>
  <si>
    <t>Допущение: 1.5 м/с — типовой лимит для AMR/FMR в зонах с людьми</t>
  </si>
  <si>
    <t>Skl_lift_share</t>
  </si>
  <si>
    <t>Доля рейсов через лифт/подъёмник</t>
  </si>
  <si>
    <t>Датасет: 1 этаж — лифты не требуются</t>
  </si>
  <si>
    <t>Skl_lift_time</t>
  </si>
  <si>
    <t>Время ожидания + проезда лифта (в один проход)</t>
  </si>
  <si>
    <t>с</t>
  </si>
  <si>
    <t>Не применяется (1 этаж)</t>
  </si>
  <si>
    <t>Skl_aisle</t>
  </si>
  <si>
    <t>Минимальная ширина прохода для фильтра решений</t>
  </si>
  <si>
    <t>Skl_clearance</t>
  </si>
  <si>
    <t>Запас по ширине проезда для безопасного движения</t>
  </si>
  <si>
    <t>Допущение команды (по 0.3 м с каждой стороны)</t>
  </si>
  <si>
    <t>Skl_outdoor_req</t>
  </si>
  <si>
    <t>Требуется уличная эксплуатация (1/0)</t>
  </si>
  <si>
    <t>Склад — закрытое отапливаемое помещение</t>
  </si>
  <si>
    <t>Skl_task_class</t>
  </si>
  <si>
    <t>Класс задачи процесса</t>
  </si>
  <si>
    <t>транспорт (рейсы) / уборка (площадь)</t>
  </si>
  <si>
    <t>Skl_handling_req</t>
  </si>
  <si>
    <t>Допустимые способы обработки груза (через ;)</t>
  </si>
  <si>
    <t>вилы;платформа</t>
  </si>
  <si>
    <t>Допущение команды: паллет с пола — вилы; платформа — через станции передачи (часть труда остаётся → 0.6)</t>
  </si>
  <si>
    <t>Skl_indoor_req</t>
  </si>
  <si>
    <t>Работа внутри помещений (1/0)</t>
  </si>
  <si>
    <t>Уличные гибриды/грузовики не допускаются в помещения</t>
  </si>
  <si>
    <t>Skl_repl_forks</t>
  </si>
  <si>
    <t>Коэф. замещения труда: вилы</t>
  </si>
  <si>
    <t>Допущение команды: полный цикл без станций; остаются высотные/нестандартные операции</t>
  </si>
  <si>
    <t>Skl_repl_platform</t>
  </si>
  <si>
    <t>Коэф. замещения труда: платформа (подъём/станции передачи)</t>
  </si>
  <si>
    <t>Skl_repl_tow</t>
  </si>
  <si>
    <t>Коэф. замещения труда: буксировка</t>
  </si>
  <si>
    <t>Допущение команды: сцепка тележек остаётся ручной</t>
  </si>
  <si>
    <t>Skl_repl_body</t>
  </si>
  <si>
    <t>Коэф. замещения труда: кузов</t>
  </si>
  <si>
    <t>Допущение команды: ручная погрузка/выгрузка кузова</t>
  </si>
  <si>
    <t>Skl_temp_min</t>
  </si>
  <si>
    <t>Минимальная температура в зоне работы</t>
  </si>
  <si>
    <t>°C</t>
  </si>
  <si>
    <t>Допущение: отапливаемый склад</t>
  </si>
  <si>
    <t>Skl_fte_target</t>
  </si>
  <si>
    <t>Целевые FTE процесса = операторы погрузчиков × доля их функции в процессе × доля автоматизируемых операций</t>
  </si>
  <si>
    <t>FTE</t>
  </si>
  <si>
    <t>Формула</t>
  </si>
  <si>
    <t>Skl_func_share</t>
  </si>
  <si>
    <t>Доля рабочего времени операторов погрузчиков, приходящаяся на перемещение паллет</t>
  </si>
  <si>
    <t>Допущение команды: целевая функция полностью совпадает с процессом</t>
  </si>
  <si>
    <t>Skl_labor_target</t>
  </si>
  <si>
    <t>Годовой ФОТ целевых FTE (с начислениями)</t>
  </si>
  <si>
    <t>Skl_base_labor</t>
  </si>
  <si>
    <t>Годовой ФОТ всего целевого персонала процесса (база)</t>
  </si>
  <si>
    <t>Формула: численность × оклад × 12 × ФОТ-коэф.</t>
  </si>
  <si>
    <t>Skl_sal_target</t>
  </si>
  <si>
    <t>Средний оклад целевого персонала (для оценки стоимости замены)</t>
  </si>
  <si>
    <t>Skl_turnover</t>
  </si>
  <si>
    <t>Годовая текучесть целевого персонала</t>
  </si>
  <si>
    <t>В датасете «Склад» показатель отсутствует → принято 0 (эффект не учитывается); при наличии данных — ввести</t>
  </si>
  <si>
    <t>Skl_fleet_per_shift</t>
  </si>
  <si>
    <t>Операторы флота роботов (диспетчер/техник) на смену</t>
  </si>
  <si>
    <t>чел./смену</t>
  </si>
  <si>
    <t>Skl_fleet_sal</t>
  </si>
  <si>
    <t>Оклад оператора флота</t>
  </si>
  <si>
    <t>Допущение: на уровне оператора погрузчика</t>
  </si>
  <si>
    <t>Skl_site_pct</t>
  </si>
  <si>
    <t>Подготовка объекта (разметка, QR-метки, Wi-Fi, ворота), % от стоимости парка</t>
  </si>
  <si>
    <t>Skl_integration</t>
  </si>
  <si>
    <t>Интеграция с WMS / 1С:ERP</t>
  </si>
  <si>
    <t>Допущение команды (оценка рынка интеграторов; датасет: WMS есть, 1С:ERP через REST/COM)</t>
  </si>
  <si>
    <t>Skl_consum_per_robot</t>
  </si>
  <si>
    <t>Расходные материалы на робота в год</t>
  </si>
  <si>
    <t>Для складских AMR/FMR отдельные расходники не выделяются (учтены в сервисе)</t>
  </si>
  <si>
    <t>Skl_other_effects</t>
  </si>
  <si>
    <t>Иные измеримые эффекты (снижение ошибок, потерь, ускорение оборота)</t>
  </si>
  <si>
    <t>Ввод пользователя; в датасете нет данных о стоимости ошибок → 0 (консервативно)</t>
  </si>
  <si>
    <t>БЛОК 3. РАСЧЁТНЫЙ ДВИЖОК (каждая колонка = один прогон: решение × модель приобретения × вариант чувствительности)</t>
  </si>
  <si>
    <t>Сценарий</t>
  </si>
  <si>
    <t>Покупка A</t>
  </si>
  <si>
    <t>RaaS A</t>
  </si>
  <si>
    <t>Покупка B</t>
  </si>
  <si>
    <t>Код решения (см. лист Каталог)</t>
  </si>
  <si>
    <t>Модель приобретения</t>
  </si>
  <si>
    <t>Покупка</t>
  </si>
  <si>
    <t>RaaS</t>
  </si>
  <si>
    <t>k_цена оборудования</t>
  </si>
  <si>
    <t>k_объём операций</t>
  </si>
  <si>
    <t>k_стоимость труда</t>
  </si>
  <si>
    <t>Вариант расчёта</t>
  </si>
  <si>
    <t>База</t>
  </si>
  <si>
    <t>Оборуд. −</t>
  </si>
  <si>
    <t>Оборуд. +</t>
  </si>
  <si>
    <t>Объём −</t>
  </si>
  <si>
    <t>Объём +</t>
  </si>
  <si>
    <t>Труд −</t>
  </si>
  <si>
    <t>Труд +</t>
  </si>
  <si>
    <t>3.1 Параметры решения (подтягиваются из листа «Каталог» по коду)</t>
  </si>
  <si>
    <t>sol_name</t>
  </si>
  <si>
    <t>Наименование решения</t>
  </si>
  <si>
    <t>INDEX(Cat_name,MATCH(63,Cat_code,0))</t>
  </si>
  <si>
    <t>sol_status</t>
  </si>
  <si>
    <t>Статус в каталоге</t>
  </si>
  <si>
    <t>INDEX(Cat_status,MATCH(63,Cat_code,0))</t>
  </si>
  <si>
    <t>sol_conf</t>
  </si>
  <si>
    <t>INDEX(Cat_conf,MATCH(63,Cat_code,0))</t>
  </si>
  <si>
    <t>price0</t>
  </si>
  <si>
    <t>Цена изделия по каталогу (с НДС)</t>
  </si>
  <si>
    <t>INDEX(Cat_price,MATCH(63,Cat_code,0))</t>
  </si>
  <si>
    <t>price</t>
  </si>
  <si>
    <t>Цена в расчёте (с учётом k_цена)</t>
  </si>
  <si>
    <t>[price0]*65</t>
  </si>
  <si>
    <t>cap</t>
  </si>
  <si>
    <t>Грузоподъёмность</t>
  </si>
  <si>
    <t>INDEX(Cat_cap,MATCH(63,Cat_code,0))</t>
  </si>
  <si>
    <t>vmax</t>
  </si>
  <si>
    <t>Максимальная скорость</t>
  </si>
  <si>
    <t>INDEX(Cat_vmax,MATCH(63,Cat_code,0))</t>
  </si>
  <si>
    <t>tload</t>
  </si>
  <si>
    <t>Время загрузки (сцепки/подхвата)</t>
  </si>
  <si>
    <t>INDEX(Cat_tload,MATCH(63,Cat_code,0))</t>
  </si>
  <si>
    <t>tunload</t>
  </si>
  <si>
    <t>Время разгрузки</t>
  </si>
  <si>
    <t>INDEX(Cat_tunload,MATCH(63,Cat_code,0))</t>
  </si>
  <si>
    <t>power</t>
  </si>
  <si>
    <t>Средняя потребляемая мощность</t>
  </si>
  <si>
    <t>INDEX(Cat_power,MATCH(63,Cat_code,0))</t>
  </si>
  <si>
    <t>handling</t>
  </si>
  <si>
    <t>INDEX(Cat_handling,MATCH(63,Cat_code,0))</t>
  </si>
  <si>
    <t>indoor</t>
  </si>
  <si>
    <t>Допуск в помещения</t>
  </si>
  <si>
    <t>INDEX(Cat_indoor,MATCH(63,Cat_code,0))</t>
  </si>
  <si>
    <t>task</t>
  </si>
  <si>
    <t>Класс задачи решения</t>
  </si>
  <si>
    <t>INDEX(Cat_task,MATCH(63,Cat_code,0))</t>
  </si>
  <si>
    <t>repl</t>
  </si>
  <si>
    <t>Коэффициент замещения труда = по паре «задача × способ обработки» (блок 2)</t>
  </si>
  <si>
    <t>IF([handling]="вилы",Skl_repl_forks,IF([handling]="платформа",Skl_repl_platform,IF([handling]="буксировка",Skl_repl_tow,IF([handling]="кузов",Skl_repl_body,0))))</t>
  </si>
  <si>
    <t>wid</t>
  </si>
  <si>
    <t>Ширина робота</t>
  </si>
  <si>
    <t>мм</t>
  </si>
  <si>
    <t>INDEX(Cat_wid,MATCH(63,Cat_code,0))</t>
  </si>
  <si>
    <t>tmin</t>
  </si>
  <si>
    <t>Допустимая минимальная температура</t>
  </si>
  <si>
    <t>INDEX(Cat_tmin,MATCH(63,Cat_code,0))</t>
  </si>
  <si>
    <t>outdoor</t>
  </si>
  <si>
    <t>Уличная эксплуатация</t>
  </si>
  <si>
    <t>INDEX(Cat_outdoor,MATCH(63,Cat_code,0))</t>
  </si>
  <si>
    <t>3.2 Проверка применимости (ТЗ п.3.4.3: ключевое ограничение → решение не рекомендуется)</t>
  </si>
  <si>
    <t>chk_task</t>
  </si>
  <si>
    <t>Проверка класса задачи (транспорт / уборка)</t>
  </si>
  <si>
    <t>IF([task]=Skl_task_class,"ОК","НЕТ")</t>
  </si>
  <si>
    <t>chk_handling</t>
  </si>
  <si>
    <t>Проверка способа обработки груза (в списке допустимых для задачи)</t>
  </si>
  <si>
    <t>IF(ISNUMBER(SEARCH([handling],Skl_handling_req)),"ОК","НЕТ")</t>
  </si>
  <si>
    <t>chk_indoor</t>
  </si>
  <si>
    <t>Проверка допуска в помещения</t>
  </si>
  <si>
    <t>IF(AND(Skl_indoor_req=1,[indoor]=0),"НЕТ","ОК")</t>
  </si>
  <si>
    <t>chk_cap</t>
  </si>
  <si>
    <t>Проверка грузоподъёмности (неделимый груз: кап. ≥ масса единицы)</t>
  </si>
  <si>
    <t>IF(AND(Skl_divisible=0,[cap]&lt;Skl_unit_mass),"НЕТ","ОК")</t>
  </si>
  <si>
    <t>chk_aisle</t>
  </si>
  <si>
    <t>Проверка проезда (ширина робота + запас ≤ мин. ширина прохода)</t>
  </si>
  <si>
    <t>IF([wid]/1000+Skl_clearance&lt;=Skl_aisle,"ОК","НЕТ")</t>
  </si>
  <si>
    <t>chk_env</t>
  </si>
  <si>
    <t>Проверка условий эксплуатации (улица / мин. температура)</t>
  </si>
  <si>
    <t>IF(Skl_outdoor_req=1,IF(AND([outdoor]=1,[tmin]&lt;=Skl_temp_min),"ОК","НЕТ"),"ОК")</t>
  </si>
  <si>
    <t>feasible</t>
  </si>
  <si>
    <t>Решение применимо (1/0)</t>
  </si>
  <si>
    <t>IF(AND([chk_task]="ОК",[chk_handling]="ОК",[chk_indoor]="ОК",[chk_cap]="ОК",[chk_aisle]="ОК",[chk_env]="ОК"),1,0)</t>
  </si>
  <si>
    <t>feas_text</t>
  </si>
  <si>
    <t>Причина включения / исключения</t>
  </si>
  <si>
    <t>IF([feasible]=1,"Применимо: все ключевые ограничения выполнены","Не применимо: "&amp;IF([chk_task]="НЕТ","класс задачи; ","")&amp;IF([chk_handling]="НЕТ","способ обработки груза; ","")&amp;IF([chk_indoor]="НЕТ","не допущен в помещения; ","")&amp;IF([chk_cap]="НЕТ","грузоподъёмность ниже массы единицы груза; ","")&amp;IF([chk_aisle]="НЕТ","габариты не проходят по ширине прохода; ","")&amp;IF([chk_env]="НЕТ","не сертифицирован для условий эксплуатации; ",""))</t>
  </si>
  <si>
    <t>3.3 Потребность в операциях (ТЗ п.3.5.2: пиковая потребность)</t>
  </si>
  <si>
    <t>ops_day</t>
  </si>
  <si>
    <t>Объём операций процесса в сутки (с учётом k_объём)</t>
  </si>
  <si>
    <t>Skl_ops_day*66</t>
  </si>
  <si>
    <t>ops_auto</t>
  </si>
  <si>
    <t>Из них автоматизируемых (× доля автоматизируемых операций)</t>
  </si>
  <si>
    <t>[ops_day]*Skl_auto_share</t>
  </si>
  <si>
    <t>trips_per_op</t>
  </si>
  <si>
    <t>Рейсов робота на 1 операцию (делимый груз: округление вверх массы/грузоподъёмность)</t>
  </si>
  <si>
    <t>рейсов</t>
  </si>
  <si>
    <t>IF(Skl_divisible=1,ROUNDUP(Skl_unit_mass/MAX([cap],1),0),1)</t>
  </si>
  <si>
    <t>hours_day</t>
  </si>
  <si>
    <t>Продолжительность работы процесса в сутки</t>
  </si>
  <si>
    <t>avg_h</t>
  </si>
  <si>
    <t>Среднечасовая потребность</t>
  </si>
  <si>
    <t>[ops_auto]/[hours_day]</t>
  </si>
  <si>
    <t>peak_h</t>
  </si>
  <si>
    <t>Пиковая потребность (автоматизируемая)</t>
  </si>
  <si>
    <t>Skl_peak_ops_h*66*Skl_auto_share</t>
  </si>
  <si>
    <t>peak_trips</t>
  </si>
  <si>
    <t>Пиковая потребность в рейсах робота</t>
  </si>
  <si>
    <t>рейсов/ч</t>
  </si>
  <si>
    <t>[peak_h]*[trips_per_op]</t>
  </si>
  <si>
    <t>3.4 Эффективная производительность робота и состав парка (ТЗ п.3.5.2: количество роботов)</t>
  </si>
  <si>
    <t>L</t>
  </si>
  <si>
    <t>Средняя длина маршрута (в одну сторону)</t>
  </si>
  <si>
    <t>v_eff</t>
  </si>
  <si>
    <t>Эксплуатационная скорость = MIN(v_max; ограничение объекта) × k_скорости</t>
  </si>
  <si>
    <t>MIN([vmax],Skl_speed_cap)*N_kv</t>
  </si>
  <si>
    <t>t_move</t>
  </si>
  <si>
    <t>Время движения за цикл (туда-обратно)</t>
  </si>
  <si>
    <t>2*[L]/[v_eff]</t>
  </si>
  <si>
    <t>t_lift</t>
  </si>
  <si>
    <t>Время ожидания/проезда лифта за цикл</t>
  </si>
  <si>
    <t>Skl_lift_share*2*Skl_lift_time</t>
  </si>
  <si>
    <t>t_cycle</t>
  </si>
  <si>
    <t>Полный цикл рейса = движение + загрузка + разгрузка + лифт</t>
  </si>
  <si>
    <t>[t_move]+[tload]+[tunload]+[t_lift]</t>
  </si>
  <si>
    <t>cycles_h</t>
  </si>
  <si>
    <t>Циклов в час (номинально)</t>
  </si>
  <si>
    <t>3600/[t_cycle]</t>
  </si>
  <si>
    <t>eff_prod</t>
  </si>
  <si>
    <t>Эффективная производительность одного робота = циклы × k_загрузки × k_готовности</t>
  </si>
  <si>
    <t>[cycles_h]*N_util*N_avail</t>
  </si>
  <si>
    <t>n_robots</t>
  </si>
  <si>
    <t>ТРЕБУЕМОЕ КОЛИЧЕСТВО РОБОТОВ = ROUNDUP(пик. рейсов / эфф. произв. × (1 + резерв))</t>
  </si>
  <si>
    <t>шт.</t>
  </si>
  <si>
    <t>IF([feasible]=1,MAX(1,ROUNDUP([peak_trips]/[eff_prod]*(1+N_reserve),0)),0)</t>
  </si>
  <si>
    <t>n_chargers</t>
  </si>
  <si>
    <t>Зарядных станций = ROUNDUP(роботов / роботов на станцию)</t>
  </si>
  <si>
    <t>ROUNDUP([n_robots]/N_charger_ratio,0)</t>
  </si>
  <si>
    <t>fleet_cap</t>
  </si>
  <si>
    <t>Пропускная способность парка в пике (проверка ≥ пиковой потребности)</t>
  </si>
  <si>
    <t>[n_robots]*[eff_prod]</t>
  </si>
  <si>
    <t>util_avg</t>
  </si>
  <si>
    <t>Расчётная загрузка парка при среднесуточном потоке (для имитации)</t>
  </si>
  <si>
    <t>%</t>
  </si>
  <si>
    <t>IF([n_robots]&gt;0,[avg_h]*[trips_per_op]/([n_robots]*[cycles_h]),0)</t>
  </si>
  <si>
    <t>power_need</t>
  </si>
  <si>
    <t>Требуемая мощность зарядной инфраструктуры</t>
  </si>
  <si>
    <t>[n_chargers]*N_charger_kw</t>
  </si>
  <si>
    <t>chk_power</t>
  </si>
  <si>
    <t>Проверка электроснабжения</t>
  </si>
  <si>
    <t>IF([power_need]&lt;=Skl_power_kw,"ОК","Требуется усиление сети")</t>
  </si>
  <si>
    <t>3.5 Базовый сценарий — текущие затраты процесса без роботизации</t>
  </si>
  <si>
    <t>base_labor</t>
  </si>
  <si>
    <t>Годовой ФОТ целевого персонала процесса (с начислениями, × k_труд × k_объём: численность пропорциональна объёму)</t>
  </si>
  <si>
    <t>Skl_base_labor*67*66</t>
  </si>
  <si>
    <t>base_opex</t>
  </si>
  <si>
    <t>OPEX базового сценария</t>
  </si>
  <si>
    <t>[base_labor]</t>
  </si>
  <si>
    <t>3.6 CAPEX роботизированного сценария (ТЗ п.3.5: оборудование + инфраструктура + ПО + интеграция + ПНР + обучение + резерв)</t>
  </si>
  <si>
    <t>is_purchase</t>
  </si>
  <si>
    <t>Модель «Покупка» (1) / «RaaS» (0)</t>
  </si>
  <si>
    <t>IF(64="Покупка",1,0)</t>
  </si>
  <si>
    <t>capex_equip</t>
  </si>
  <si>
    <t>Оборудование = роботов × цена (только при покупке)</t>
  </si>
  <si>
    <t>[n_robots]*[price]*[is_purchase]</t>
  </si>
  <si>
    <t>capex_chargers</t>
  </si>
  <si>
    <t>Инфраструктура: зарядные станции (при RaaS — включены в аренду)</t>
  </si>
  <si>
    <t>[n_chargers]*N_charger_price*[is_purchase]</t>
  </si>
  <si>
    <t>capex_site</t>
  </si>
  <si>
    <t>Инфраструктура: подготовка объекта (разметка, Wi-Fi, двери/лифты/СКУД), % от стоимости парка</t>
  </si>
  <si>
    <t>[n_robots]*[price]*Skl_site_pct</t>
  </si>
  <si>
    <t>capex_sw</t>
  </si>
  <si>
    <t>ПО управления флотом (разовая лицензия/внедрение)</t>
  </si>
  <si>
    <t>[capex_equip]*N_sw_pct</t>
  </si>
  <si>
    <t>capex_integ</t>
  </si>
  <si>
    <t>Интеграция с ИТ-системами объекта (WMS/ERP/1С/AODB/МИС)</t>
  </si>
  <si>
    <t>Skl_integration*IF([n_robots]&gt;0,1,0)</t>
  </si>
  <si>
    <t>capex_delivery</t>
  </si>
  <si>
    <t>Доставка</t>
  </si>
  <si>
    <t>[capex_equip]*N_delivery_pct</t>
  </si>
  <si>
    <t>capex_pnr</t>
  </si>
  <si>
    <t>Пусконаладка (при RaaS — установочный платёж провайдера)</t>
  </si>
  <si>
    <t>[capex_equip]*N_pnr_pct+(1-[is_purchase])*[n_robots]*[price]*N_raas_setup</t>
  </si>
  <si>
    <t>capex_training</t>
  </si>
  <si>
    <t>Обучение персонала</t>
  </si>
  <si>
    <t>N_training*IF([n_robots]&gt;0,1,0)</t>
  </si>
  <si>
    <t>capex_sub</t>
  </si>
  <si>
    <t>Итого до резерва</t>
  </si>
  <si>
    <t>[capex_equip]+[capex_chargers]+[capex_site]+[capex_sw]+[capex_integ]+[capex_delivery]+[capex_pnr]+[capex_training]</t>
  </si>
  <si>
    <t>capex_reserve</t>
  </si>
  <si>
    <t>Резерв на непредвиденные расходы</t>
  </si>
  <si>
    <t>[capex_sub]*N_capex_reserve</t>
  </si>
  <si>
    <t>capex_total</t>
  </si>
  <si>
    <t>CAPEX ИТОГО</t>
  </si>
  <si>
    <t>[capex_sub]+[capex_reserve]</t>
  </si>
  <si>
    <t>chk_budget</t>
  </si>
  <si>
    <t>Проверка бюджета заказчика</t>
  </si>
  <si>
    <t>IF([capex_total]&lt;=Skl_budget*1000000,"В бюджете","Превышает бюджет")</t>
  </si>
  <si>
    <t>3.7 OPEX роботизированного сценария (ТЗ п.3.5: сервис + лицензии + энергия + связь + расходники + ремонт + персонал эксплуатации)</t>
  </si>
  <si>
    <t>opex_rent</t>
  </si>
  <si>
    <t>Платёж RaaS (аренда: цена × ставка/мес × 12; включает сервис, ПО, АКБ)</t>
  </si>
  <si>
    <t>(1-[is_purchase])*[n_robots]*[price]*N_raas_pct*12</t>
  </si>
  <si>
    <t>opex_service</t>
  </si>
  <si>
    <t>Сервисный контракт (покупка)</t>
  </si>
  <si>
    <t>[is_purchase]*[capex_equip]*N_service_pct</t>
  </si>
  <si>
    <t>opex_license</t>
  </si>
  <si>
    <t>Лицензии ПО (покупка)</t>
  </si>
  <si>
    <t>[is_purchase]*[capex_equip]*N_license_pct</t>
  </si>
  <si>
    <t>opex_repair</t>
  </si>
  <si>
    <t>Ремонт и запчасти вне контракта (покупка)</t>
  </si>
  <si>
    <t>[is_purchase]*[capex_equip]*N_repair_pct</t>
  </si>
  <si>
    <t>opex_energy</t>
  </si>
  <si>
    <t>Электроэнергия = роботов × мощность × часов/сут × 365 × тариф</t>
  </si>
  <si>
    <t>[n_robots]*[power]*[hours_day]*365*N_energy_price</t>
  </si>
  <si>
    <t>opex_connect</t>
  </si>
  <si>
    <t>Связь / Wi-Fi</t>
  </si>
  <si>
    <t>N_connect*IF([n_robots]&gt;0,1,0)</t>
  </si>
  <si>
    <t>opex_consum</t>
  </si>
  <si>
    <t>Расходные материалы (объектная норма на робота в год)</t>
  </si>
  <si>
    <t>Skl_consum_per_robot*[n_robots]</t>
  </si>
  <si>
    <t>opex_fleet</t>
  </si>
  <si>
    <t>Персонал эксплуатации (операторы флота: чел./смену × смен × (1+потери) × оклад × 12 × ФОТ-коэф.)</t>
  </si>
  <si>
    <t>Skl_fleet_per_shift*Skl_shifts*(1+Skl_loss_k)*Skl_fleet_sal*12*N_fot*67*IF([n_robots]&gt;0,1,0)</t>
  </si>
  <si>
    <t>opex_loan</t>
  </si>
  <si>
    <t>Обслуживание долга (если доля заёмного финансирования &gt; 0; средний остаток)</t>
  </si>
  <si>
    <t>[is_purchase]*[capex_total]*N_loan_share*N_loan_rate*(N_loan_years+1)/(2*N_loan_years)</t>
  </si>
  <si>
    <t>opex_robot</t>
  </si>
  <si>
    <t>OPEX решения (дополнительный OPEX) ИТОГО</t>
  </si>
  <si>
    <t>[opex_rent]+[opex_service]+[opex_license]+[opex_repair]+[opex_energy]+[opex_connect]+[opex_consum]+[opex_fleet]+[opex_loan]</t>
  </si>
  <si>
    <t>3.8 Эффекты и итоговые показатели (ТЗ п.3.5.2)</t>
  </si>
  <si>
    <t>fte_freed</t>
  </si>
  <si>
    <t>Высвобождаемый персонал = целевые FTE × коэф. замещения × k_объём</t>
  </si>
  <si>
    <t>Skl_fte_target*[repl]*[feasible]*66</t>
  </si>
  <si>
    <t>labor_saving</t>
  </si>
  <si>
    <t>Экономия ФОТ (с начислениями) = целевой ФОТ × коэф. замещения × k_труд × k_объём</t>
  </si>
  <si>
    <t>Skl_labor_target*[repl]*67*66*[feasible]</t>
  </si>
  <si>
    <t>labor_remaining</t>
  </si>
  <si>
    <t>Остаточный ФОТ целевого персонала</t>
  </si>
  <si>
    <t>[base_labor]-[labor_saving]</t>
  </si>
  <si>
    <t>opex_new_total</t>
  </si>
  <si>
    <t>OPEX роботизированного сценария ИТОГО (остаточный ФОТ + OPEX решения)</t>
  </si>
  <si>
    <t>[labor_remaining]+[opex_robot]</t>
  </si>
  <si>
    <t>delta_opex</t>
  </si>
  <si>
    <t>Изменение OPEX относительно базового сценария (минус = экономия)</t>
  </si>
  <si>
    <t>[opex_new_total]-[base_opex]</t>
  </si>
  <si>
    <t>hire_saving</t>
  </si>
  <si>
    <t>Экономия на подборе/адаптации (текучесть × высвобожденные FTE × стоимость замены)</t>
  </si>
  <si>
    <t>[fte_freed]*Skl_turnover*N_hire_cost*Skl_sal_target*67</t>
  </si>
  <si>
    <t>other_eff</t>
  </si>
  <si>
    <t>Иные измеримые эффекты (снижение ошибок/потерь; ввод пользователя)</t>
  </si>
  <si>
    <t>Skl_other_effects*[feasible]</t>
  </si>
  <si>
    <t>effect_net</t>
  </si>
  <si>
    <t>ЧИСТЫЙ ГОДОВОЙ ЭКОНОМИЧЕСКИЙ ЭФФЕКТ = (OPEX база − OPEX нов.) + иные эффекты</t>
  </si>
  <si>
    <t>[base_opex]-[opex_new_total]+[hire_saving]+[other_eff]</t>
  </si>
  <si>
    <t>amort</t>
  </si>
  <si>
    <t>Амортизация CAPEX (линейно, срок службы N_life; при RaaS — 0)</t>
  </si>
  <si>
    <t>[capex_total]/N_life*[is_purchase]</t>
  </si>
  <si>
    <t>effect_amort</t>
  </si>
  <si>
    <t>Годовой эффект с учётом амортизации (учётный, Дополнения п.2.2)</t>
  </si>
  <si>
    <t>[effect_net]-[amort]</t>
  </si>
  <si>
    <t>payback</t>
  </si>
  <si>
    <t>ПРОСТОЙ СРОК ОКУПАЕМОСТИ = CAPEX / чистый годовой эффект</t>
  </si>
  <si>
    <t>IF(AND([feasible]=1,[effect_net]&gt;0),[capex_total]/[effect_net],"не окупается")</t>
  </si>
  <si>
    <t>horizon</t>
  </si>
  <si>
    <t>Горизонт расчёта</t>
  </si>
  <si>
    <t>batt_events</t>
  </si>
  <si>
    <t>Замен АКБ на горизонте = INT((горизонт−1)/срок АКБ) (покупка)</t>
  </si>
  <si>
    <t>[is_purchase]*INT(([horizon]-1)/N_battery_life)</t>
  </si>
  <si>
    <t>batt_cost</t>
  </si>
  <si>
    <t>Стоимость одной замены АКБ на парк</t>
  </si>
  <si>
    <t>[capex_equip]*N_battery_share</t>
  </si>
  <si>
    <t>cum_effect</t>
  </si>
  <si>
    <t>Накопленный эффект за горизонт (за вычетом замен АКБ)</t>
  </si>
  <si>
    <t>[effect_net]*[horizon]-[batt_events]*[batt_cost]</t>
  </si>
  <si>
    <t>roi</t>
  </si>
  <si>
    <t>ROI = накопленный эффект за горизонт / CAPEX × 100%</t>
  </si>
  <si>
    <t>IF([capex_total]&gt;0,[cum_effect]/[capex_total],"—")</t>
  </si>
  <si>
    <t>tco_solution</t>
  </si>
  <si>
    <t>TCO решения = CAPEX + OPEX решения × горизонт + замены АКБ</t>
  </si>
  <si>
    <t>[capex_total]+[opex_robot]*[horizon]+[batt_events]*[batt_cost]</t>
  </si>
  <si>
    <t>tco_base</t>
  </si>
  <si>
    <t>Совокупные затраты процесса за горизонт — базовый сценарий</t>
  </si>
  <si>
    <t>[base_opex]*[horizon]</t>
  </si>
  <si>
    <t>tco_new</t>
  </si>
  <si>
    <t>Совокупные затраты процесса за горизонт — роботизированный сценарий</t>
  </si>
  <si>
    <t>[capex_total]+[opex_new_total]*[horizon]+[batt_events]*[batt_cost]</t>
  </si>
  <si>
    <t>tco_delta</t>
  </si>
  <si>
    <t>Разница совокупных затрат (минус = выгода роботизации)</t>
  </si>
  <si>
    <t>[tco_new]-[tco_base]</t>
  </si>
  <si>
    <t>verdict</t>
  </si>
  <si>
    <t>ИНТЕРПРЕТАЦИЯ (ТЗ п.3.5.7: не только порог окупаемости)</t>
  </si>
  <si>
    <t>IF([feasible]=0,"Не применимо",IF([effect_net]&lt;=0,"Не окупается: годовой эффект ≤ 0",IF([payback]&lt;=N_pb_good,"Высокая целесообразность (окупаемость до "&amp;N_pb_good&amp;" лет)",IF([payback]&lt;=N_pb_mid,"Средняя целесообразность ("&amp;N_pb_good&amp;"–"&amp;N_pb_mid&amp;" лет) — рекомендован пилот","Низкая целесообразность (более "&amp;N_pb_mid&amp;" лет) — требует уточнения данных"))))</t>
  </si>
  <si>
    <t>risks</t>
  </si>
  <si>
    <t>Ключевые риски и предупреждения</t>
  </si>
  <si>
    <t>IF([sol_status]&lt;&gt;"operation","Зрелость: статус «"&amp;[sol_status]&amp;"»; ","")&amp;IF([sol_conf]&lt;&gt;"Да","ТТХ требуют подтверждения; ","")&amp;IF([chk_budget]="Превышает бюджет","CAPEX выше планового бюджета; ","")&amp;IF([chk_power]&lt;&gt;"ОК","недостаточно мощности для зарядки; ","")&amp;IF([util_avg]&lt;0.3,"низкая среднесуточная загрузка парка (парк рассчитан на пик) — рассмотреть частичную роботизацию или RaaS; ","")</t>
  </si>
  <si>
    <t>БЛОК 4. СРАВНЕНИЕ СЦЕНАРИЕВ (базовый вариант расчёта; ТЗ п.3.5.5, 3.7.1)</t>
  </si>
  <si>
    <t>Показатель</t>
  </si>
  <si>
    <t>База (без роботизации)</t>
  </si>
  <si>
    <t>Решение</t>
  </si>
  <si>
    <t>Статус решения в каталоге</t>
  </si>
  <si>
    <t>Применимость</t>
  </si>
  <si>
    <t>Количество роботов</t>
  </si>
  <si>
    <t>Зарядных станций</t>
  </si>
  <si>
    <t>CAPEX</t>
  </si>
  <si>
    <t>Проверка бюджета</t>
  </si>
  <si>
    <t>OPEX процесса (год)</t>
  </si>
  <si>
    <t>в т.ч. OPEX решения</t>
  </si>
  <si>
    <t>Изменение OPEX к базе</t>
  </si>
  <si>
    <t>Высвобождаемый персонал</t>
  </si>
  <si>
    <t>Чистый годовой эффект</t>
  </si>
  <si>
    <t>Годовой эффект с учётом амортизации</t>
  </si>
  <si>
    <t>Простой срок окупаемости</t>
  </si>
  <si>
    <t>ROI за горизонт</t>
  </si>
  <si>
    <t>TCO решения за горизонт</t>
  </si>
  <si>
    <t>Совокупные затраты процесса за горизонт</t>
  </si>
  <si>
    <t>Интерпретация</t>
  </si>
  <si>
    <t>Текущее состояние</t>
  </si>
  <si>
    <t>Риски / предупреждения</t>
  </si>
  <si>
    <t>БЛОК 5. ДЕНЕЖНЫЙ ПОТОК ПО ГОДАМ (год 0 = CAPEX; далее чистый эффект за вычетом замен АКБ; NPV — справочно)</t>
  </si>
  <si>
    <t>Год</t>
  </si>
  <si>
    <t>Покупка A: поток</t>
  </si>
  <si>
    <t>Покупка A: накопл.</t>
  </si>
  <si>
    <t>Покупка A: дисконт. накопл.</t>
  </si>
  <si>
    <t>RaaS A: поток</t>
  </si>
  <si>
    <t>RaaS A: накопл.</t>
  </si>
  <si>
    <t>RaaS A: дисконт. накопл.</t>
  </si>
  <si>
    <t>Покупка B: поток</t>
  </si>
  <si>
    <t>Покупка B: накопл.</t>
  </si>
  <si>
    <t>Покупка B: дисконт. накопл.</t>
  </si>
  <si>
    <t>NPV за горизонт</t>
  </si>
  <si>
    <t>Дисконтированный срок окупаемости (лет, целых)</t>
  </si>
  <si>
    <t>БЛОК 6. ЧУВСТВИТЕЛЬНОСТЬ (ТЗ п.3.5.6: три параметра — стоимость оборудования, объём операций, стоимость труда; шаг N_sens)</t>
  </si>
  <si>
    <t>Вариант</t>
  </si>
  <si>
    <t>Чистый годовой эффект, руб./год</t>
  </si>
  <si>
    <t>Срок окупаемости, лет</t>
  </si>
  <si>
    <t>ROI, %</t>
  </si>
  <si>
    <t>Стоимость оборудования</t>
  </si>
  <si>
    <t>Объём операций</t>
  </si>
  <si>
    <t>Стоимость труда</t>
  </si>
  <si>
    <t>БЛОК 7. КРАТКОЕ ЗАКЛЮЧЕНИЕ (формируется автоматически; предварительная оценка — требует верификации при обследовании объекта, ТЗ п.3.7.5)</t>
  </si>
  <si>
    <t>ОБЪЕКТ: АЭРОПОРТ — процесс: перевозка багажа перрон ↔ терминал (RAMP)</t>
  </si>
  <si>
    <t>БЛОК 1. ПАРАМЕТРЫ ОБЪЕКТА (демо-датасет организатора, лист «Аэропорт»)</t>
  </si>
  <si>
    <t>Aer_S_terminal</t>
  </si>
  <si>
    <t>Суммарная площадь терминала(ов)</t>
  </si>
  <si>
    <t>Датасет, лист «Аэропорт»</t>
  </si>
  <si>
    <t>Aer_S_apron</t>
  </si>
  <si>
    <t>Площадь перрона и технических зон</t>
  </si>
  <si>
    <t>Aer_gates</t>
  </si>
  <si>
    <t>Количество выходов на посадку</t>
  </si>
  <si>
    <t>Aer_flights_day</t>
  </si>
  <si>
    <t>Среднесуточное количество рейсов (взлёт+посадка)</t>
  </si>
  <si>
    <t>рейсов/сут</t>
  </si>
  <si>
    <t>Aer_flights_peak_h</t>
  </si>
  <si>
    <t>Пиковое количество рейсов в час</t>
  </si>
  <si>
    <t>Aer_bags_day</t>
  </si>
  <si>
    <t>Объём перемещения багажа</t>
  </si>
  <si>
    <t>ед./сут</t>
  </si>
  <si>
    <t>Aer_bag_mass</t>
  </si>
  <si>
    <t>Средняя масса единицы багажа</t>
  </si>
  <si>
    <t>Aer_ramp_staff</t>
  </si>
  <si>
    <t>Численность персонала наземного обслуживания (рамп)</t>
  </si>
  <si>
    <t>Aer_sal_ramp</t>
  </si>
  <si>
    <t>Средняя з/п сотрудника наземного обслуживания (gross)</t>
  </si>
  <si>
    <t>Aer_turnover_ds</t>
  </si>
  <si>
    <t>Годовая текучесть персонала</t>
  </si>
  <si>
    <t>Aer_temp_min_ds</t>
  </si>
  <si>
    <t>Температура в неотапливаемых зонах (перрон, зима)</t>
  </si>
  <si>
    <t>Aer_noise</t>
  </si>
  <si>
    <t>Ограничение по уровню шума</t>
  </si>
  <si>
    <t>дБА</t>
  </si>
  <si>
    <t>Aer_power_kw</t>
  </si>
  <si>
    <t>Доступная мощность для зарядной инфраструктуры</t>
  </si>
  <si>
    <t>Aer_budget</t>
  </si>
  <si>
    <t>Aer_horizon</t>
  </si>
  <si>
    <t>Aer_shifts</t>
  </si>
  <si>
    <t>Смен в сутки (круглосуточная работа аэропорта)</t>
  </si>
  <si>
    <t>Допущение команды: режим 24/7, 3 смены по 8 ч</t>
  </si>
  <si>
    <t>Aer_shift_h</t>
  </si>
  <si>
    <t>Продолжительность смены</t>
  </si>
  <si>
    <t>Aer_hours_day</t>
  </si>
  <si>
    <t>Часов работы процесса в сутки</t>
  </si>
  <si>
    <t>Aer_ops_day</t>
  </si>
  <si>
    <t>Объём операций = рейсов × 2 (доставка багажа на борт + вывоз на выдачу)</t>
  </si>
  <si>
    <t>Aer_peak_ops_h</t>
  </si>
  <si>
    <t>Пиковая интенсивность = пиковых рейсов/ч × 2</t>
  </si>
  <si>
    <t>Формула из датасета (пик задан напрямую, пиковый коэффициент не применяется)</t>
  </si>
  <si>
    <t>Aer_auto_share</t>
  </si>
  <si>
    <t>Доля автоматизируемых операций</t>
  </si>
  <si>
    <t>Допущение: 10% рейсов (нестандартные стоянки, спецрейсы) остаются ручными</t>
  </si>
  <si>
    <t>Aer_unit_mass</t>
  </si>
  <si>
    <t>Масса багажа одного рейса = багаж/сут ÷ рейсов/сут × масса единицы</t>
  </si>
  <si>
    <t>Aer_divisible</t>
  </si>
  <si>
    <t>Груз делимый (1): багаж рейса можно везти несколькими рейсами робота</t>
  </si>
  <si>
    <t>Допущение</t>
  </si>
  <si>
    <t>Aer_L</t>
  </si>
  <si>
    <t>Средняя длина маршрута (сортировка багажа ↔ стоянка ВС) = 2 × √(площадь перрона)</t>
  </si>
  <si>
    <t>Допущение команды (проверяется на схеме перрона)</t>
  </si>
  <si>
    <t>Aer_speed_cap</t>
  </si>
  <si>
    <t>Ограничение скорости на перроне</t>
  </si>
  <si>
    <t>Допущение: 15 км/ч — типовой лимит для перронной техники</t>
  </si>
  <si>
    <t>Aer_lift_share</t>
  </si>
  <si>
    <t>Доля рейсов через лифт</t>
  </si>
  <si>
    <t>Не применяется (перрон)</t>
  </si>
  <si>
    <t>Aer_lift_time</t>
  </si>
  <si>
    <t>Время лифта</t>
  </si>
  <si>
    <t>Не применяется</t>
  </si>
  <si>
    <t>Aer_aisle</t>
  </si>
  <si>
    <t>Минимальная ширина проезда (служебные проезды перрона)</t>
  </si>
  <si>
    <t>Aer_clearance</t>
  </si>
  <si>
    <t>Запас по ширине проезда</t>
  </si>
  <si>
    <t>Aer_outdoor_req</t>
  </si>
  <si>
    <t>Перрон — открытая зона (датасет: ограничения по погоде и допускам)</t>
  </si>
  <si>
    <t>Aer_task_class</t>
  </si>
  <si>
    <t>Aer_handling_req</t>
  </si>
  <si>
    <t>буксировка;кузов</t>
  </si>
  <si>
    <t>Допущение команды: багажные тележки — буксировка; контейнеры — кузов</t>
  </si>
  <si>
    <t>Aer_indoor_req</t>
  </si>
  <si>
    <t>Aer_repl_forks</t>
  </si>
  <si>
    <t>Aer_repl_platform</t>
  </si>
  <si>
    <t>Aer_repl_tow</t>
  </si>
  <si>
    <t>Aer_repl_body</t>
  </si>
  <si>
    <t>Aer_temp_min</t>
  </si>
  <si>
    <t>Минимальная температура эксплуатации</t>
  </si>
  <si>
    <t>Aer_driver_share</t>
  </si>
  <si>
    <t>Доля водителей багажных тягачей в персонале рампа</t>
  </si>
  <si>
    <t>Допущение команды (в датасете нет разбивки персонала рампа по функциям)</t>
  </si>
  <si>
    <t>Aer_fte_target</t>
  </si>
  <si>
    <t>Целевые FTE = персонал рампа × доля водителей × доля автоматизируемых операций</t>
  </si>
  <si>
    <t>Aer_labor_target</t>
  </si>
  <si>
    <t>Aer_base_labor</t>
  </si>
  <si>
    <t>Годовой ФОТ всего целевого персонала процесса (водители тягачей)</t>
  </si>
  <si>
    <t>Aer_sal_target</t>
  </si>
  <si>
    <t>Средний оклад целевого персонала</t>
  </si>
  <si>
    <t>Aer_turnover</t>
  </si>
  <si>
    <t>Aer_loss_k</t>
  </si>
  <si>
    <t>Коэффициент потерь рабочего времени</t>
  </si>
  <si>
    <t>Нормативы (по умолчанию 25%)</t>
  </si>
  <si>
    <t>Aer_fleet_per_shift</t>
  </si>
  <si>
    <t>Операторы флота (диспетчер) на смену</t>
  </si>
  <si>
    <t>Aer_fleet_sal</t>
  </si>
  <si>
    <t>Допущение: на уровне персонала рампа</t>
  </si>
  <si>
    <t>Aer_site_pct</t>
  </si>
  <si>
    <t>Подготовка объекта (разметка airside, СКУД, связь), % от стоимости парка</t>
  </si>
  <si>
    <t>Допущение команды (сертификация airside, интеграция со СКУД OSDP)</t>
  </si>
  <si>
    <t>Aer_integration</t>
  </si>
  <si>
    <t>Интеграция с AODB/FIDS и системой обработки багажа</t>
  </si>
  <si>
    <t>Aer_consum_per_robot</t>
  </si>
  <si>
    <t>Учтены в сервисе</t>
  </si>
  <si>
    <t>Aer_other_effects</t>
  </si>
  <si>
    <t>Иные измеримые эффекты (сокращение задержек рейсов, повреждений багажа)</t>
  </si>
  <si>
    <t>Ввод пользователя; консервативно 0</t>
  </si>
  <si>
    <t>IF([handling]="вилы",Aer_repl_forks,IF([handling]="платформа",Aer_repl_platform,IF([handling]="буксировка",Aer_repl_tow,IF([handling]="кузов",Aer_repl_body,0))))</t>
  </si>
  <si>
    <t>IF([task]=Aer_task_class,"ОК","НЕТ")</t>
  </si>
  <si>
    <t>IF(ISNUMBER(SEARCH([handling],Aer_handling_req)),"ОК","НЕТ")</t>
  </si>
  <si>
    <t>IF(AND(Aer_indoor_req=1,[indoor]=0),"НЕТ","ОК")</t>
  </si>
  <si>
    <t>IF(AND(Aer_divisible=0,[cap]&lt;Aer_unit_mass),"НЕТ","ОК")</t>
  </si>
  <si>
    <t>IF([wid]/1000+Aer_clearance&lt;=Aer_aisle,"ОК","НЕТ")</t>
  </si>
  <si>
    <t>IF(Aer_outdoor_req=1,IF(AND([outdoor]=1,[tmin]&lt;=Aer_temp_min),"ОК","НЕТ"),"ОК")</t>
  </si>
  <si>
    <t>Aer_ops_day*66</t>
  </si>
  <si>
    <t>[ops_day]*Aer_auto_share</t>
  </si>
  <si>
    <t>IF(Aer_divisible=1,ROUNDUP(Aer_unit_mass/MAX([cap],1),0),1)</t>
  </si>
  <si>
    <t>Aer_peak_ops_h*66*Aer_auto_share</t>
  </si>
  <si>
    <t>MIN([vmax],Aer_speed_cap)*N_kv</t>
  </si>
  <si>
    <t>Aer_lift_share*2*Aer_lift_time</t>
  </si>
  <si>
    <t>IF([power_need]&lt;=Aer_power_kw,"ОК","Требуется усиление сети")</t>
  </si>
  <si>
    <t>Aer_base_labor*67*66</t>
  </si>
  <si>
    <t>[n_robots]*[price]*Aer_site_pct</t>
  </si>
  <si>
    <t>Aer_integration*IF([n_robots]&gt;0,1,0)</t>
  </si>
  <si>
    <t>IF([capex_total]&lt;=Aer_budget*1000000,"В бюджете","Превышает бюджет")</t>
  </si>
  <si>
    <t>Aer_consum_per_robot*[n_robots]</t>
  </si>
  <si>
    <t>Aer_fleet_per_shift*Aer_shifts*(1+Aer_loss_k)*Aer_fleet_sal*12*N_fot*67*IF([n_robots]&gt;0,1,0)</t>
  </si>
  <si>
    <t>Aer_fte_target*[repl]*[feasible]*66</t>
  </si>
  <si>
    <t>Aer_labor_target*[repl]*67*66*[feasible]</t>
  </si>
  <si>
    <t>[fte_freed]*Aer_turnover*N_hire_cost*Aer_sal_target*67</t>
  </si>
  <si>
    <t>Aer_other_effects*[feasible]</t>
  </si>
  <si>
    <t>ОБЪЕКТ: МЕДУЧРЕЖДЕНИЕ — процесс: внутрибольничная транспортировка тележек (питание, бельё, отходы, расходники)</t>
  </si>
  <si>
    <t>БЛОК 1. ПАРАМЕТРЫ ОБЪЕКТА (демо-датасет организатора, лист «Медучреждение»)</t>
  </si>
  <si>
    <t>Med_S_total</t>
  </si>
  <si>
    <t>Общая площадь здания(й)</t>
  </si>
  <si>
    <t>Датасет, лист «Медучреждение»</t>
  </si>
  <si>
    <t>Med_floors</t>
  </si>
  <si>
    <t>Количество этажей (основной корпус)</t>
  </si>
  <si>
    <t>Med_lifts</t>
  </si>
  <si>
    <t>Количество лифтов (грузовых/медицинских)</t>
  </si>
  <si>
    <t>Med_beds</t>
  </si>
  <si>
    <t>Количество коек</t>
  </si>
  <si>
    <t>коек</t>
  </si>
  <si>
    <t>Med_feedings</t>
  </si>
  <si>
    <t>Количество кормлений в сутки</t>
  </si>
  <si>
    <t>раз/сут</t>
  </si>
  <si>
    <t>Med_food_points</t>
  </si>
  <si>
    <t>Количество точек раздачи питания (отделений)</t>
  </si>
  <si>
    <t>Med_L_food</t>
  </si>
  <si>
    <t>Среднее расстояние от пищеблока до отделения</t>
  </si>
  <si>
    <t>Med_cart_mass</t>
  </si>
  <si>
    <t>Средняя масса тележки с питанием (брутто)</t>
  </si>
  <si>
    <t>Med_linen_points</t>
  </si>
  <si>
    <t>Количество точек сбора/выдачи белья</t>
  </si>
  <si>
    <t>Med_linen_freq</t>
  </si>
  <si>
    <t>Периодичность смены белья</t>
  </si>
  <si>
    <t>Med_linen_mass</t>
  </si>
  <si>
    <t>Средняя масса контейнера с бельём</t>
  </si>
  <si>
    <t>Med_supplies_trips</t>
  </si>
  <si>
    <t>Объём доставки расходных материалов</t>
  </si>
  <si>
    <t>Med_waste_points</t>
  </si>
  <si>
    <t>Количество точек сбора отходов</t>
  </si>
  <si>
    <t>Med_waste_freq</t>
  </si>
  <si>
    <t>Периодичность вывоза отходов из отделений</t>
  </si>
  <si>
    <t>Med_orderlies</t>
  </si>
  <si>
    <t>Численность санитаров и транспортировщиков</t>
  </si>
  <si>
    <t>Med_kitchen</t>
  </si>
  <si>
    <t>Численность сотрудников пищеблока (раздача)</t>
  </si>
  <si>
    <t>Med_laundry</t>
  </si>
  <si>
    <t>Численность сотрудников прачечной (транспорт белья)</t>
  </si>
  <si>
    <t>Med_sal_orderly</t>
  </si>
  <si>
    <t>Средняя з/п санитара/транспортировщика (gross)</t>
  </si>
  <si>
    <t>Med_sal_kitchen</t>
  </si>
  <si>
    <t>Средняя з/п сотрудника пищеблока (gross)</t>
  </si>
  <si>
    <t>Med_turnover_ds</t>
  </si>
  <si>
    <t>Годовая текучесть немедицинского персонала</t>
  </si>
  <si>
    <t>Med_corridor</t>
  </si>
  <si>
    <t>Ширина коридоров (основных)</t>
  </si>
  <si>
    <t>Med_noise</t>
  </si>
  <si>
    <t>Требования к уровню шума в палатах (ночь)</t>
  </si>
  <si>
    <t>Med_power_kw</t>
  </si>
  <si>
    <t>Med_budget</t>
  </si>
  <si>
    <t>Med_horizon</t>
  </si>
  <si>
    <t>Med_shifts</t>
  </si>
  <si>
    <t>Смен в сутки (стационар 24/7)</t>
  </si>
  <si>
    <t>Датасет: 3 смены медперсонала</t>
  </si>
  <si>
    <t>Med_hours_day</t>
  </si>
  <si>
    <t>Часов логистической работы в сутки (окно 06:00–22:00)</t>
  </si>
  <si>
    <t>Допущение команды: ночью доставки минимальны (шум ≤30 дБА в палатах)</t>
  </si>
  <si>
    <t>Med_peak_k</t>
  </si>
  <si>
    <t>Пиковый коэффициент (пики 07–10 и 15–17 по датасету)</t>
  </si>
  <si>
    <t>Допущение команды: два пиковых окна</t>
  </si>
  <si>
    <t>Med_ops_food</t>
  </si>
  <si>
    <t>Рейсы питания = кормлений × отделений × 2 (доставка + возврат тележек)</t>
  </si>
  <si>
    <t>Med_ops_linen</t>
  </si>
  <si>
    <t>Рейсы белья = точек × периодичность × 2 (чистое + грязное)</t>
  </si>
  <si>
    <t>Med_ops_waste</t>
  </si>
  <si>
    <t>Рейсы отходов = точек × периодичность × 2 (вывоз + возврат тары)</t>
  </si>
  <si>
    <t>Med_ops_supplies</t>
  </si>
  <si>
    <t>Рейсы расходных материалов</t>
  </si>
  <si>
    <t>Med_ops_day</t>
  </si>
  <si>
    <t>Объём операций процесса = питание + бельё + отходы + расходники</t>
  </si>
  <si>
    <t>Med_peak_ops_h</t>
  </si>
  <si>
    <t>Med_auto_share</t>
  </si>
  <si>
    <t>Допущение: 10% маршрутов (реанимация, оперблок, режимные зоны) остаются ручными</t>
  </si>
  <si>
    <t>Med_unit_mass</t>
  </si>
  <si>
    <t>Масса единицы груза = максимальная из тележек процесса</t>
  </si>
  <si>
    <t>Med_divisible</t>
  </si>
  <si>
    <t>Груз делимый (0 — тележка неделима)</t>
  </si>
  <si>
    <t>Med_L</t>
  </si>
  <si>
    <t>Средняя длина маршрута (пищеблок ↔ отделение)</t>
  </si>
  <si>
    <t>Med_speed_cap</t>
  </si>
  <si>
    <t>Ограничение скорости в коридорах</t>
  </si>
  <si>
    <t>Допущение: безопасность пациентов, разминовка с каталками</t>
  </si>
  <si>
    <t>Med_lift_share</t>
  </si>
  <si>
    <t>Доля рейсов с использованием лифта</t>
  </si>
  <si>
    <t>Допущение: 9 этажей, пищеблок/прачечная на нижних этажах</t>
  </si>
  <si>
    <t>Med_lift_time</t>
  </si>
  <si>
    <t>Ожидание + проезд лифта (в один проход)</t>
  </si>
  <si>
    <t>Допущение команды: 4 лифта на 9 этажей — типичное узкое место (датасет)</t>
  </si>
  <si>
    <t>Med_aisle</t>
  </si>
  <si>
    <t>Минимальная ширина прохода</t>
  </si>
  <si>
    <t>Med_clearance</t>
  </si>
  <si>
    <t>Запас по ширине (разминовка с каталкой)</t>
  </si>
  <si>
    <t>Допущение: каталка ~0.7 м + зазоры</t>
  </si>
  <si>
    <t>Med_outdoor_req</t>
  </si>
  <si>
    <t>Требуется уличная эксплуатация</t>
  </si>
  <si>
    <t>Внутрибольничная логистика</t>
  </si>
  <si>
    <t>Med_task_class</t>
  </si>
  <si>
    <t>Med_handling_req</t>
  </si>
  <si>
    <t>платформа;кузов</t>
  </si>
  <si>
    <t>Допущение команды: тележки подхватываются платформой напрямую (→ 0.8); кузов — мелкие грузы</t>
  </si>
  <si>
    <t>Med_indoor_req</t>
  </si>
  <si>
    <t>Med_repl_forks</t>
  </si>
  <si>
    <t>Med_repl_platform</t>
  </si>
  <si>
    <t>Med_repl_tow</t>
  </si>
  <si>
    <t>Med_repl_body</t>
  </si>
  <si>
    <t>Med_temp_min</t>
  </si>
  <si>
    <t>Минимальная температура</t>
  </si>
  <si>
    <t>Отапливаемое здание</t>
  </si>
  <si>
    <t>Med_share_orderly</t>
  </si>
  <si>
    <t>Доля времени санитаров/транспортировщиков на транспортировку тележек</t>
  </si>
  <si>
    <t>Med_share_kitchen</t>
  </si>
  <si>
    <t>Доля времени пищеблока на транспортную функцию</t>
  </si>
  <si>
    <t>Датасет: «частичное замещение — только транспортная функция»; величина — допущение</t>
  </si>
  <si>
    <t>Med_share_laundry</t>
  </si>
  <si>
    <t>Доля времени прачечной на транспорт белья</t>
  </si>
  <si>
    <t>Med_fte_target</t>
  </si>
  <si>
    <t>Целевые FTE = Σ (численность × доля транспортной функции) × доля автоматизируемых</t>
  </si>
  <si>
    <t>Med_labor_target</t>
  </si>
  <si>
    <t>Формула (з/п прачечной принята = санитара)</t>
  </si>
  <si>
    <t>Med_base_labor</t>
  </si>
  <si>
    <t>Годовой ФОТ персонала транспортной функции (база)</t>
  </si>
  <si>
    <t>Med_sal_target</t>
  </si>
  <si>
    <t>Med_turnover</t>
  </si>
  <si>
    <t>Годовая текучесть</t>
  </si>
  <si>
    <t>Med_loss_k</t>
  </si>
  <si>
    <t>Нормативы</t>
  </si>
  <si>
    <t>Med_fleet_per_shift</t>
  </si>
  <si>
    <t>Операторы флота на смену</t>
  </si>
  <si>
    <t>Med_fleet_sal</t>
  </si>
  <si>
    <t>Med_site_pct</t>
  </si>
  <si>
    <t>Подготовка объекта (API лифтов, двери, СКУД, Wi-Fi), % от стоимости парка</t>
  </si>
  <si>
    <t>Допущение: датасет — BMS лифтов «частично», без API лифтов AMR не работает между этажами</t>
  </si>
  <si>
    <t>Med_integration</t>
  </si>
  <si>
    <t>Интеграция с МИС (ЕМИАС) и лифтовым оборудованием</t>
  </si>
  <si>
    <t>Med_consum_per_robot</t>
  </si>
  <si>
    <t>Дезинфекция робота (2 обработки/сут × 365 × стоимость обработки 120 руб.)</t>
  </si>
  <si>
    <t>Датасет: обеззараживание обязательно для Б-маршрутов; стоимость обработки — допущение</t>
  </si>
  <si>
    <t>Med_other_effects</t>
  </si>
  <si>
    <t>Иные измеримые эффекты (соблюдение нормативов доставки, снижение ВБИ)</t>
  </si>
  <si>
    <t>Консервативно 0; ввод пользователя</t>
  </si>
  <si>
    <t>INDEX(Cat_name,MATCH(79,Cat_code,0))</t>
  </si>
  <si>
    <t>INDEX(Cat_status,MATCH(79,Cat_code,0))</t>
  </si>
  <si>
    <t>INDEX(Cat_conf,MATCH(79,Cat_code,0))</t>
  </si>
  <si>
    <t>INDEX(Cat_price,MATCH(79,Cat_code,0))</t>
  </si>
  <si>
    <t>[price0]*81</t>
  </si>
  <si>
    <t>INDEX(Cat_cap,MATCH(79,Cat_code,0))</t>
  </si>
  <si>
    <t>INDEX(Cat_vmax,MATCH(79,Cat_code,0))</t>
  </si>
  <si>
    <t>INDEX(Cat_tload,MATCH(79,Cat_code,0))</t>
  </si>
  <si>
    <t>INDEX(Cat_tunload,MATCH(79,Cat_code,0))</t>
  </si>
  <si>
    <t>INDEX(Cat_power,MATCH(79,Cat_code,0))</t>
  </si>
  <si>
    <t>INDEX(Cat_handling,MATCH(79,Cat_code,0))</t>
  </si>
  <si>
    <t>INDEX(Cat_indoor,MATCH(79,Cat_code,0))</t>
  </si>
  <si>
    <t>INDEX(Cat_task,MATCH(79,Cat_code,0))</t>
  </si>
  <si>
    <t>IF([handling]="вилы",Med_repl_forks,IF([handling]="платформа",Med_repl_platform,IF([handling]="буксировка",Med_repl_tow,IF([handling]="кузов",Med_repl_body,0))))</t>
  </si>
  <si>
    <t>INDEX(Cat_wid,MATCH(79,Cat_code,0))</t>
  </si>
  <si>
    <t>INDEX(Cat_tmin,MATCH(79,Cat_code,0))</t>
  </si>
  <si>
    <t>INDEX(Cat_outdoor,MATCH(79,Cat_code,0))</t>
  </si>
  <si>
    <t>IF([task]=Med_task_class,"ОК","НЕТ")</t>
  </si>
  <si>
    <t>IF(ISNUMBER(SEARCH([handling],Med_handling_req)),"ОК","НЕТ")</t>
  </si>
  <si>
    <t>IF(AND(Med_indoor_req=1,[indoor]=0),"НЕТ","ОК")</t>
  </si>
  <si>
    <t>IF(AND(Med_divisible=0,[cap]&lt;Med_unit_mass),"НЕТ","ОК")</t>
  </si>
  <si>
    <t>IF([wid]/1000+Med_clearance&lt;=Med_aisle,"ОК","НЕТ")</t>
  </si>
  <si>
    <t>IF(Med_outdoor_req=1,IF(AND([outdoor]=1,[tmin]&lt;=Med_temp_min),"ОК","НЕТ"),"ОК")</t>
  </si>
  <si>
    <t>Med_ops_day*82</t>
  </si>
  <si>
    <t>[ops_day]*Med_auto_share</t>
  </si>
  <si>
    <t>IF(Med_divisible=1,ROUNDUP(Med_unit_mass/MAX([cap],1),0),1)</t>
  </si>
  <si>
    <t>Med_peak_ops_h*82*Med_auto_share</t>
  </si>
  <si>
    <t>MIN([vmax],Med_speed_cap)*N_kv</t>
  </si>
  <si>
    <t>Med_lift_share*2*Med_lift_time</t>
  </si>
  <si>
    <t>IF([power_need]&lt;=Med_power_kw,"ОК","Требуется усиление сети")</t>
  </si>
  <si>
    <t>Med_base_labor*83*82</t>
  </si>
  <si>
    <t>IF(80="Покупка",1,0)</t>
  </si>
  <si>
    <t>[n_robots]*[price]*Med_site_pct</t>
  </si>
  <si>
    <t>Med_integration*IF([n_robots]&gt;0,1,0)</t>
  </si>
  <si>
    <t>IF([capex_total]&lt;=Med_budget*1000000,"В бюджете","Превышает бюджет")</t>
  </si>
  <si>
    <t>Med_consum_per_robot*[n_robots]</t>
  </si>
  <si>
    <t>Med_fleet_per_shift*Med_shifts*(1+Med_loss_k)*Med_fleet_sal*12*N_fot*83*IF([n_robots]&gt;0,1,0)</t>
  </si>
  <si>
    <t>Med_fte_target*[repl]*[feasible]*82</t>
  </si>
  <si>
    <t>Med_labor_target*[repl]*83*82*[feasible]</t>
  </si>
  <si>
    <t>[fte_freed]*Med_turnover*N_hire_cost*Med_sal_target*83</t>
  </si>
  <si>
    <t>Med_other_effects*[feasible]</t>
  </si>
  <si>
    <t>СВОДНЫЙ ДАШБОРД: три типа объектов × сценарии (значения подтягиваются с листов объектов)</t>
  </si>
  <si>
    <t>Объект</t>
  </si>
  <si>
    <t>Роботов</t>
  </si>
  <si>
    <t>CAPEX, руб.</t>
  </si>
  <si>
    <t>OPEX процесса, руб./год</t>
  </si>
  <si>
    <t>Окупаемость, лет</t>
  </si>
  <si>
    <t>NPV, руб.</t>
  </si>
  <si>
    <t>TCO решения, руб.</t>
  </si>
  <si>
    <t>Риски</t>
  </si>
  <si>
    <t>Склад</t>
  </si>
  <si>
    <t>Аэропорт</t>
  </si>
  <si>
    <t>Медучреждение</t>
  </si>
  <si>
    <t>Все результаты — предварительная оценка (экспресс-предынвестиционная); требуют верификации при обследовании объекта (ТЗ п.3.7.5). Все формулы, единицы измерения, источники и допущения доступны на листах объектов и «Нормативы» (ТЗ п.3.5.8).</t>
  </si>
  <si>
    <t>operations_per_day</t>
  </si>
  <si>
    <t>peak_factor</t>
  </si>
  <si>
    <t>automatable_share</t>
  </si>
  <si>
    <t>operating_hours_per_day</t>
  </si>
  <si>
    <t>one_way_route_m</t>
  </si>
  <si>
    <t>site_speed_limit_mps</t>
  </si>
  <si>
    <t>метры в секунду</t>
  </si>
  <si>
    <t>load_unit_mass_kg</t>
  </si>
  <si>
    <t>load_is_divisible</t>
  </si>
  <si>
    <t>available_charging_power_kw</t>
  </si>
  <si>
    <t>target_fte</t>
  </si>
  <si>
    <t>I feel we should calculate it in the service</t>
  </si>
  <si>
    <t>there is in input dataset</t>
  </si>
  <si>
    <t>target_annual_payroll, baseline_annual_opex</t>
  </si>
  <si>
    <t>fleet_operators_per_shift</t>
  </si>
  <si>
    <t>shifts_per_day</t>
  </si>
  <si>
    <t>staff_time_loss_share</t>
  </si>
  <si>
    <t>fleet_operator_monthly_salary, target_monthly_salary</t>
  </si>
  <si>
    <t>annual_staff_turnover</t>
  </si>
  <si>
    <t>replacement_by_handling :[{forks, 0.5}]</t>
  </si>
  <si>
    <t>horizon_years</t>
  </si>
  <si>
    <t>budget</t>
  </si>
  <si>
    <t>lift_trip_share</t>
  </si>
  <si>
    <t>one_way_lift_seconds</t>
  </si>
  <si>
    <t>integration_cost</t>
  </si>
  <si>
    <t>annual_consumables_per_robot</t>
  </si>
  <si>
    <t>payroll_multiplier</t>
  </si>
  <si>
    <t>productive_time_share</t>
  </si>
  <si>
    <t>technical_availability</t>
  </si>
  <si>
    <t>fleet_reserve_share</t>
  </si>
  <si>
    <t>operating_speed_factor</t>
  </si>
  <si>
    <t>robots_per_charger</t>
  </si>
  <si>
    <t>charger_installed_price</t>
  </si>
  <si>
    <t>charger_power_kw</t>
  </si>
  <si>
    <t>fms_upfront_share</t>
  </si>
  <si>
    <t>delivery_share</t>
  </si>
  <si>
    <t>commissioning_share</t>
  </si>
  <si>
    <t>training_cost</t>
  </si>
  <si>
    <t>capex_contingency_share</t>
  </si>
  <si>
    <t>annual_service_share</t>
  </si>
  <si>
    <t>annual_license_share</t>
  </si>
  <si>
    <t>annual_repair_share</t>
  </si>
  <si>
    <t>electricity_price</t>
  </si>
  <si>
    <t>battery_life_years</t>
  </si>
  <si>
    <t>battery_replacement_share</t>
  </si>
  <si>
    <t>annual_connectivity_cost</t>
  </si>
  <si>
    <t>equipment_life_years</t>
  </si>
  <si>
    <t>discount_rate</t>
  </si>
  <si>
    <t>loan_share</t>
  </si>
  <si>
    <t>loan_interest_rate</t>
  </si>
  <si>
    <t>loan_term_years</t>
  </si>
  <si>
    <t>monthly_raas_share</t>
  </si>
  <si>
    <t>raas_setup_share</t>
  </si>
  <si>
    <t>recruitment_months_salary</t>
  </si>
  <si>
    <t>good_payback_years</t>
  </si>
  <si>
    <t>medium_payback_years</t>
  </si>
  <si>
    <t>site_preparation_share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</si>
</sst>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;\-"/>
    <numFmt numFmtId="166" formatCode="#,##0.0"/>
  </numFmts>
  <fonts count="22" x14ac:knownFonts="1">
    <font>
      <sz val="11"/>
      <color theme="1"/>
      <name val="Calibri"/>
      <family val="2"/>
      <charset val="1"/>
    </font>
    <font>
      <b/>
      <sz val="14"/>
      <color rgb="FF4B1E6B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8000"/>
      <name val="Arial"/>
      <charset val="1"/>
    </font>
    <font>
      <sz val="11"/>
      <color rgb="FFFF0000"/>
      <name val="Calibri"/>
      <family val="2"/>
      <charset val="1"/>
    </font>
    <font>
      <b/>
      <sz val="10"/>
      <color rgb="FFFF0000"/>
      <name val="Arial"/>
      <family val="2"/>
    </font>
    <font>
      <i/>
      <sz val="9"/>
      <color rgb="FFFF0000"/>
      <name val="Arial"/>
      <family val="2"/>
    </font>
    <font>
      <sz val="10"/>
      <color rgb="FFFF0000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00B050"/>
      <name val="Arial"/>
      <family val="2"/>
    </font>
    <font>
      <i/>
      <sz val="9"/>
      <name val="Arial"/>
      <family val="2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E7DDF0"/>
      </patternFill>
    </fill>
    <fill>
      <patternFill patternType="solid">
        <fgColor rgb="FFFFFF00"/>
        <bgColor rgb="FFFFFF00"/>
      </patternFill>
    </fill>
    <fill>
      <patternFill patternType="solid">
        <fgColor rgb="FF4B1E6B"/>
        <bgColor rgb="FF660066"/>
      </patternFill>
    </fill>
    <fill>
      <patternFill patternType="solid">
        <fgColor rgb="FFE7DDF0"/>
        <bgColor rgb="FFD9D9D9"/>
      </patternFill>
    </fill>
    <fill>
      <patternFill patternType="solid">
        <fgColor rgb="FFEAF3E2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000000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4" fontId="4" fillId="3" borderId="1" xfId="0" applyNumberFormat="1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4" borderId="0" xfId="0" applyFont="1" applyFill="1"/>
    <xf numFmtId="3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3" fontId="3" fillId="3" borderId="1" xfId="0" applyNumberFormat="1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0" fontId="0" fillId="5" borderId="0" xfId="0" applyFill="1"/>
    <xf numFmtId="0" fontId="2" fillId="5" borderId="0" xfId="0" applyFont="1" applyFill="1"/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2" fillId="0" borderId="1" xfId="0" applyFont="1" applyBorder="1" applyAlignment="1">
      <alignment vertical="top" wrapText="1"/>
    </xf>
    <xf numFmtId="3" fontId="2" fillId="6" borderId="1" xfId="0" applyNumberFormat="1" applyFont="1" applyFill="1" applyBorder="1"/>
    <xf numFmtId="166" fontId="3" fillId="0" borderId="1" xfId="0" applyNumberFormat="1" applyFont="1" applyBorder="1"/>
    <xf numFmtId="164" fontId="3" fillId="0" borderId="1" xfId="0" applyNumberFormat="1" applyFont="1" applyBorder="1"/>
    <xf numFmtId="165" fontId="2" fillId="6" borderId="1" xfId="0" applyNumberFormat="1" applyFont="1" applyFill="1" applyBorder="1"/>
    <xf numFmtId="166" fontId="2" fillId="6" borderId="1" xfId="0" applyNumberFormat="1" applyFont="1" applyFill="1" applyBorder="1"/>
    <xf numFmtId="164" fontId="2" fillId="6" borderId="1" xfId="0" applyNumberFormat="1" applyFont="1" applyFill="1" applyBorder="1"/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3" fontId="0" fillId="6" borderId="1" xfId="0" applyNumberFormat="1" applyFill="1" applyBorder="1" applyAlignment="1">
      <alignment vertical="top" wrapText="1"/>
    </xf>
    <xf numFmtId="3" fontId="3" fillId="6" borderId="1" xfId="0" applyNumberFormat="1" applyFont="1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165" fontId="3" fillId="6" borderId="1" xfId="0" applyNumberFormat="1" applyFont="1" applyFill="1" applyBorder="1" applyAlignment="1">
      <alignment vertical="top" wrapText="1"/>
    </xf>
    <xf numFmtId="166" fontId="0" fillId="6" borderId="1" xfId="0" applyNumberFormat="1" applyFill="1" applyBorder="1" applyAlignment="1">
      <alignment vertical="top" wrapText="1"/>
    </xf>
    <xf numFmtId="166" fontId="3" fillId="6" borderId="1" xfId="0" applyNumberFormat="1" applyFont="1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164" fontId="3" fillId="6" borderId="1" xfId="0" applyNumberFormat="1" applyFont="1" applyFill="1" applyBorder="1" applyAlignment="1">
      <alignment vertical="top" wrapText="1"/>
    </xf>
    <xf numFmtId="0" fontId="3" fillId="0" borderId="1" xfId="0" applyFont="1" applyBorder="1"/>
    <xf numFmtId="165" fontId="0" fillId="0" borderId="1" xfId="0" applyNumberFormat="1" applyBorder="1"/>
    <xf numFmtId="165" fontId="2" fillId="6" borderId="0" xfId="0" applyNumberFormat="1" applyFont="1" applyFill="1"/>
    <xf numFmtId="0" fontId="2" fillId="6" borderId="0" xfId="0" applyFont="1" applyFill="1"/>
    <xf numFmtId="0" fontId="3" fillId="6" borderId="1" xfId="0" applyFont="1" applyFill="1" applyBorder="1"/>
    <xf numFmtId="165" fontId="0" fillId="6" borderId="1" xfId="0" applyNumberFormat="1" applyFill="1" applyBorder="1"/>
    <xf numFmtId="166" fontId="0" fillId="6" borderId="1" xfId="0" applyNumberFormat="1" applyFill="1" applyBorder="1"/>
    <xf numFmtId="164" fontId="0" fillId="6" borderId="1" xfId="0" applyNumberFormat="1" applyFill="1" applyBorder="1"/>
    <xf numFmtId="3" fontId="0" fillId="6" borderId="1" xfId="0" applyNumberFormat="1" applyFill="1" applyBorder="1"/>
    <xf numFmtId="166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4" fontId="3" fillId="3" borderId="1" xfId="0" applyNumberFormat="1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166" fontId="7" fillId="0" borderId="1" xfId="0" applyNumberFormat="1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8" fillId="5" borderId="0" xfId="0" applyFont="1" applyFill="1"/>
    <xf numFmtId="0" fontId="9" fillId="5" borderId="0" xfId="0" applyFont="1" applyFill="1"/>
    <xf numFmtId="0" fontId="8" fillId="0" borderId="0" xfId="0" applyFont="1"/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3" fontId="9" fillId="6" borderId="1" xfId="0" applyNumberFormat="1" applyFont="1" applyFill="1" applyBorder="1"/>
    <xf numFmtId="3" fontId="11" fillId="0" borderId="1" xfId="0" applyNumberFormat="1" applyFont="1" applyBorder="1"/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3" fontId="13" fillId="0" borderId="1" xfId="0" applyNumberFormat="1" applyFont="1" applyBorder="1"/>
    <xf numFmtId="4" fontId="13" fillId="0" borderId="1" xfId="0" applyNumberFormat="1" applyFont="1" applyBorder="1"/>
    <xf numFmtId="165" fontId="13" fillId="0" borderId="1" xfId="0" applyNumberFormat="1" applyFont="1" applyBorder="1"/>
    <xf numFmtId="0" fontId="0" fillId="0" borderId="0" xfId="0" applyFont="1"/>
    <xf numFmtId="0" fontId="3" fillId="7" borderId="1" xfId="0" applyFont="1" applyFill="1" applyBorder="1" applyAlignment="1">
      <alignment vertical="top" wrapText="1"/>
    </xf>
    <xf numFmtId="3" fontId="3" fillId="7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7" borderId="0" xfId="0" applyFill="1"/>
    <xf numFmtId="4" fontId="3" fillId="7" borderId="1" xfId="0" applyNumberFormat="1" applyFont="1" applyFill="1" applyBorder="1" applyAlignment="1">
      <alignment vertical="top" wrapText="1"/>
    </xf>
    <xf numFmtId="4" fontId="4" fillId="7" borderId="1" xfId="0" applyNumberFormat="1" applyFont="1" applyFill="1" applyBorder="1" applyAlignment="1">
      <alignment vertical="top" wrapText="1"/>
    </xf>
    <xf numFmtId="3" fontId="4" fillId="7" borderId="1" xfId="0" applyNumberFormat="1" applyFont="1" applyFill="1" applyBorder="1" applyAlignment="1">
      <alignment vertical="top" wrapText="1"/>
    </xf>
    <xf numFmtId="0" fontId="15" fillId="0" borderId="2" xfId="0" applyFont="1" applyFill="1" applyBorder="1" applyAlignment="1">
      <alignment vertical="top" wrapText="1"/>
    </xf>
    <xf numFmtId="3" fontId="16" fillId="0" borderId="2" xfId="0" applyNumberFormat="1" applyFont="1" applyFill="1" applyBorder="1" applyAlignment="1">
      <alignment vertical="top" wrapText="1"/>
    </xf>
    <xf numFmtId="3" fontId="3" fillId="8" borderId="1" xfId="0" applyNumberFormat="1" applyFont="1" applyFill="1" applyBorder="1" applyAlignment="1">
      <alignment vertical="top" wrapText="1"/>
    </xf>
    <xf numFmtId="4" fontId="4" fillId="8" borderId="1" xfId="0" applyNumberFormat="1" applyFont="1" applyFill="1" applyBorder="1" applyAlignment="1">
      <alignment vertical="top" wrapText="1"/>
    </xf>
    <xf numFmtId="0" fontId="15" fillId="7" borderId="3" xfId="0" applyFont="1" applyFill="1" applyBorder="1" applyAlignment="1">
      <alignment vertical="top" wrapText="1"/>
    </xf>
    <xf numFmtId="3" fontId="4" fillId="8" borderId="1" xfId="0" applyNumberFormat="1" applyFont="1" applyFill="1" applyBorder="1" applyAlignment="1">
      <alignment vertical="top" wrapText="1"/>
    </xf>
    <xf numFmtId="166" fontId="3" fillId="7" borderId="1" xfId="0" applyNumberFormat="1" applyFont="1" applyFill="1" applyBorder="1" applyAlignment="1">
      <alignment vertical="top" wrapText="1"/>
    </xf>
    <xf numFmtId="165" fontId="3" fillId="7" borderId="1" xfId="0" applyNumberFormat="1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64" fontId="4" fillId="8" borderId="1" xfId="0" applyNumberFormat="1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165" fontId="4" fillId="8" borderId="1" xfId="0" applyNumberFormat="1" applyFont="1" applyFill="1" applyBorder="1" applyAlignment="1">
      <alignment vertical="top" wrapText="1"/>
    </xf>
    <xf numFmtId="0" fontId="16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top" wrapText="1"/>
    </xf>
    <xf numFmtId="0" fontId="18" fillId="9" borderId="0" xfId="0" applyFont="1" applyFill="1"/>
    <xf numFmtId="164" fontId="3" fillId="7" borderId="1" xfId="0" applyNumberFormat="1" applyFont="1" applyFill="1" applyBorder="1" applyAlignment="1">
      <alignment vertical="top" wrapText="1"/>
    </xf>
    <xf numFmtId="0" fontId="0" fillId="0" borderId="0" xfId="0" applyFill="1"/>
    <xf numFmtId="166" fontId="14" fillId="0" borderId="1" xfId="0" applyNumberFormat="1" applyFont="1" applyBorder="1"/>
    <xf numFmtId="3" fontId="14" fillId="0" borderId="1" xfId="0" applyNumberFormat="1" applyFont="1" applyBorder="1"/>
    <xf numFmtId="4" fontId="14" fillId="0" borderId="1" xfId="0" applyNumberFormat="1" applyFont="1" applyBorder="1"/>
    <xf numFmtId="3" fontId="19" fillId="6" borderId="1" xfId="0" applyNumberFormat="1" applyFont="1" applyFill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165" fontId="19" fillId="6" borderId="1" xfId="0" applyNumberFormat="1" applyFont="1" applyFill="1" applyBorder="1"/>
    <xf numFmtId="166" fontId="19" fillId="6" borderId="1" xfId="0" applyNumberFormat="1" applyFont="1" applyFill="1" applyBorder="1"/>
    <xf numFmtId="0" fontId="20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4" fontId="15" fillId="0" borderId="1" xfId="0" applyNumberFormat="1" applyFont="1" applyBorder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AF3E2"/>
      <rgbColor rgb="FFE7DD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B1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30" customWidth="1"/>
  </cols>
  <sheetData>
    <row r="1" spans="1:2" ht="18" x14ac:dyDescent="0.2">
      <c r="A1" s="2" t="s">
        <v>0</v>
      </c>
    </row>
    <row r="3" spans="1:2" ht="48" customHeight="1" x14ac:dyDescent="0.2">
      <c r="A3" s="3" t="s">
        <v>1</v>
      </c>
      <c r="B3" s="4" t="s">
        <v>2</v>
      </c>
    </row>
    <row r="4" spans="1:2" ht="48" customHeight="1" x14ac:dyDescent="0.2">
      <c r="A4" s="3" t="s">
        <v>3</v>
      </c>
      <c r="B4" s="4" t="s">
        <v>4</v>
      </c>
    </row>
    <row r="5" spans="1:2" ht="48" customHeight="1" x14ac:dyDescent="0.2">
      <c r="A5" s="3" t="s">
        <v>5</v>
      </c>
      <c r="B5" s="4" t="s">
        <v>6</v>
      </c>
    </row>
    <row r="6" spans="1:2" ht="48" customHeight="1" x14ac:dyDescent="0.2">
      <c r="A6" s="3" t="s">
        <v>7</v>
      </c>
      <c r="B6" s="4" t="s">
        <v>8</v>
      </c>
    </row>
    <row r="7" spans="1:2" ht="48" customHeight="1" x14ac:dyDescent="0.2">
      <c r="A7" s="3" t="s">
        <v>9</v>
      </c>
      <c r="B7" s="4" t="s">
        <v>10</v>
      </c>
    </row>
    <row r="8" spans="1:2" ht="48" customHeight="1" x14ac:dyDescent="0.2">
      <c r="A8" s="3" t="s">
        <v>11</v>
      </c>
      <c r="B8" s="4" t="s">
        <v>12</v>
      </c>
    </row>
    <row r="9" spans="1:2" ht="48" customHeight="1" x14ac:dyDescent="0.2">
      <c r="A9" s="3" t="s">
        <v>13</v>
      </c>
      <c r="B9" s="4" t="s">
        <v>14</v>
      </c>
    </row>
    <row r="10" spans="1:2" ht="48" customHeight="1" x14ac:dyDescent="0.2">
      <c r="A10" s="3" t="s">
        <v>15</v>
      </c>
      <c r="B10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5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34" customWidth="1"/>
    <col min="3" max="3" width="22" customWidth="1"/>
    <col min="4" max="20" width="14" customWidth="1"/>
    <col min="21" max="21" width="30" customWidth="1"/>
    <col min="22" max="26" width="14" customWidth="1"/>
    <col min="27" max="27" width="40" customWidth="1"/>
    <col min="28" max="29" width="14" customWidth="1"/>
    <col min="30" max="30" width="60" customWidth="1"/>
    <col min="31" max="33" width="14" customWidth="1"/>
  </cols>
  <sheetData>
    <row r="1" spans="1:33" ht="18" x14ac:dyDescent="0.2">
      <c r="A1" s="2" t="s">
        <v>127</v>
      </c>
    </row>
    <row r="3" spans="1:33" ht="30" customHeight="1" x14ac:dyDescent="0.2">
      <c r="A3" s="5" t="s">
        <v>128</v>
      </c>
      <c r="B3" s="5" t="s">
        <v>129</v>
      </c>
      <c r="C3" s="5" t="s">
        <v>130</v>
      </c>
      <c r="D3" s="5" t="s">
        <v>25</v>
      </c>
      <c r="E3" s="5" t="s">
        <v>131</v>
      </c>
      <c r="F3" s="5" t="s">
        <v>132</v>
      </c>
      <c r="G3" s="5" t="s">
        <v>133</v>
      </c>
      <c r="H3" s="5" t="s">
        <v>134</v>
      </c>
      <c r="I3" s="5" t="s">
        <v>135</v>
      </c>
      <c r="J3" s="5" t="s">
        <v>136</v>
      </c>
      <c r="K3" s="5" t="s">
        <v>137</v>
      </c>
      <c r="L3" s="5" t="s">
        <v>138</v>
      </c>
      <c r="M3" s="5" t="s">
        <v>139</v>
      </c>
      <c r="N3" s="5" t="s">
        <v>140</v>
      </c>
      <c r="O3" s="5" t="s">
        <v>141</v>
      </c>
      <c r="P3" s="5" t="s">
        <v>142</v>
      </c>
      <c r="Q3" s="5" t="s">
        <v>143</v>
      </c>
      <c r="R3" s="5" t="s">
        <v>144</v>
      </c>
      <c r="S3" s="5" t="s">
        <v>145</v>
      </c>
      <c r="T3" s="5" t="s">
        <v>146</v>
      </c>
      <c r="U3" s="5" t="s">
        <v>147</v>
      </c>
      <c r="V3" s="5" t="s">
        <v>148</v>
      </c>
      <c r="W3" s="5" t="s">
        <v>149</v>
      </c>
      <c r="X3" s="5" t="s">
        <v>150</v>
      </c>
      <c r="Y3" s="5" t="s">
        <v>151</v>
      </c>
      <c r="Z3" s="5" t="s">
        <v>152</v>
      </c>
      <c r="AA3" s="5" t="s">
        <v>153</v>
      </c>
      <c r="AB3" s="5" t="s">
        <v>154</v>
      </c>
      <c r="AC3" s="5" t="s">
        <v>155</v>
      </c>
      <c r="AD3" s="5" t="s">
        <v>156</v>
      </c>
      <c r="AE3" s="5" t="s">
        <v>157</v>
      </c>
      <c r="AF3" s="5" t="s">
        <v>158</v>
      </c>
      <c r="AG3" s="5" t="s">
        <v>159</v>
      </c>
    </row>
    <row r="4" spans="1:33" ht="210" x14ac:dyDescent="0.2">
      <c r="A4" s="6" t="s">
        <v>160</v>
      </c>
      <c r="B4" s="6" t="s">
        <v>161</v>
      </c>
      <c r="C4" s="6" t="s">
        <v>162</v>
      </c>
      <c r="D4" s="6" t="s">
        <v>163</v>
      </c>
      <c r="E4" s="6" t="s">
        <v>164</v>
      </c>
      <c r="F4" s="6" t="s">
        <v>165</v>
      </c>
      <c r="G4" s="6" t="s">
        <v>166</v>
      </c>
      <c r="H4" s="6">
        <v>8</v>
      </c>
      <c r="I4" s="6">
        <v>4</v>
      </c>
      <c r="J4" s="14">
        <v>4300000</v>
      </c>
      <c r="K4" s="15">
        <v>1500</v>
      </c>
      <c r="L4" s="15">
        <v>1.5</v>
      </c>
      <c r="M4" s="15">
        <v>10</v>
      </c>
      <c r="N4" s="15">
        <v>90</v>
      </c>
      <c r="O4" s="15">
        <v>1975</v>
      </c>
      <c r="P4" s="15">
        <v>1000</v>
      </c>
      <c r="Q4" s="15">
        <v>2050</v>
      </c>
      <c r="R4" s="15">
        <v>5</v>
      </c>
      <c r="S4" s="15">
        <v>35</v>
      </c>
      <c r="T4" s="15">
        <v>3</v>
      </c>
      <c r="U4" s="6" t="s">
        <v>167</v>
      </c>
      <c r="V4" s="15">
        <v>60</v>
      </c>
      <c r="W4" s="15">
        <v>60</v>
      </c>
      <c r="X4" s="11">
        <v>0.8</v>
      </c>
      <c r="Y4" s="16">
        <v>0</v>
      </c>
      <c r="Z4" s="16">
        <v>1</v>
      </c>
      <c r="AA4" s="6" t="s">
        <v>168</v>
      </c>
      <c r="AB4" s="6" t="s">
        <v>169</v>
      </c>
      <c r="AC4" s="6" t="s">
        <v>170</v>
      </c>
      <c r="AD4" s="6" t="s">
        <v>171</v>
      </c>
      <c r="AE4" s="6" t="s">
        <v>172</v>
      </c>
      <c r="AF4" s="6" t="s">
        <v>173</v>
      </c>
      <c r="AG4" s="6" t="s">
        <v>174</v>
      </c>
    </row>
    <row r="5" spans="1:33" ht="196" x14ac:dyDescent="0.2">
      <c r="A5" s="6" t="s">
        <v>175</v>
      </c>
      <c r="B5" s="6" t="s">
        <v>176</v>
      </c>
      <c r="C5" s="6" t="s">
        <v>177</v>
      </c>
      <c r="D5" s="6" t="s">
        <v>178</v>
      </c>
      <c r="E5" s="6" t="s">
        <v>164</v>
      </c>
      <c r="F5" s="6" t="s">
        <v>165</v>
      </c>
      <c r="G5" s="6" t="s">
        <v>179</v>
      </c>
      <c r="H5" s="6">
        <v>9</v>
      </c>
      <c r="I5" s="6">
        <v>4</v>
      </c>
      <c r="J5" s="14">
        <v>2940000</v>
      </c>
      <c r="K5" s="15">
        <v>1500</v>
      </c>
      <c r="L5" s="15">
        <v>1.5</v>
      </c>
      <c r="M5" s="15">
        <v>10</v>
      </c>
      <c r="N5" s="15">
        <v>90</v>
      </c>
      <c r="O5" s="15">
        <v>1975</v>
      </c>
      <c r="P5" s="15">
        <v>1000</v>
      </c>
      <c r="Q5" s="15">
        <v>2050</v>
      </c>
      <c r="R5" s="15">
        <v>5</v>
      </c>
      <c r="S5" s="15">
        <v>35</v>
      </c>
      <c r="T5" s="15">
        <v>3</v>
      </c>
      <c r="U5" s="6" t="s">
        <v>180</v>
      </c>
      <c r="V5" s="15">
        <v>60</v>
      </c>
      <c r="W5" s="15">
        <v>60</v>
      </c>
      <c r="X5" s="11">
        <v>0.8</v>
      </c>
      <c r="Y5" s="16">
        <v>0</v>
      </c>
      <c r="Z5" s="16">
        <v>1</v>
      </c>
      <c r="AA5" s="6" t="s">
        <v>168</v>
      </c>
      <c r="AB5" s="6" t="s">
        <v>169</v>
      </c>
      <c r="AC5" s="6" t="s">
        <v>181</v>
      </c>
      <c r="AD5" s="6" t="s">
        <v>182</v>
      </c>
      <c r="AE5" s="6" t="s">
        <v>183</v>
      </c>
      <c r="AF5" s="6" t="s">
        <v>173</v>
      </c>
      <c r="AG5" s="6" t="s">
        <v>184</v>
      </c>
    </row>
    <row r="6" spans="1:33" ht="210" x14ac:dyDescent="0.2">
      <c r="A6" s="6" t="s">
        <v>185</v>
      </c>
      <c r="B6" s="6" t="s">
        <v>186</v>
      </c>
      <c r="C6" s="6" t="s">
        <v>187</v>
      </c>
      <c r="D6" s="6" t="s">
        <v>163</v>
      </c>
      <c r="E6" s="6" t="s">
        <v>188</v>
      </c>
      <c r="F6" s="6" t="s">
        <v>165</v>
      </c>
      <c r="G6" s="6" t="s">
        <v>179</v>
      </c>
      <c r="H6" s="6">
        <v>8</v>
      </c>
      <c r="I6" s="6">
        <v>4</v>
      </c>
      <c r="J6" s="14">
        <v>2700000</v>
      </c>
      <c r="K6" s="16">
        <v>1500</v>
      </c>
      <c r="L6" s="16">
        <v>1.5</v>
      </c>
      <c r="M6" s="16">
        <v>6</v>
      </c>
      <c r="N6" s="16">
        <v>18</v>
      </c>
      <c r="O6" s="16">
        <v>1044</v>
      </c>
      <c r="P6" s="16">
        <v>654</v>
      </c>
      <c r="Q6" s="16">
        <v>380</v>
      </c>
      <c r="R6" s="16">
        <v>5</v>
      </c>
      <c r="S6" s="16">
        <v>25</v>
      </c>
      <c r="T6" s="15">
        <v>1</v>
      </c>
      <c r="U6" s="6" t="s">
        <v>189</v>
      </c>
      <c r="V6" s="15">
        <v>30</v>
      </c>
      <c r="W6" s="15">
        <v>30</v>
      </c>
      <c r="X6" s="11">
        <v>0.6</v>
      </c>
      <c r="Y6" s="16">
        <v>0</v>
      </c>
      <c r="Z6" s="16">
        <v>1</v>
      </c>
      <c r="AA6" s="6" t="s">
        <v>190</v>
      </c>
      <c r="AB6" s="6" t="s">
        <v>169</v>
      </c>
      <c r="AC6" s="6" t="s">
        <v>191</v>
      </c>
      <c r="AD6" s="6" t="s">
        <v>192</v>
      </c>
      <c r="AE6" s="6" t="s">
        <v>193</v>
      </c>
      <c r="AF6" s="6" t="s">
        <v>173</v>
      </c>
      <c r="AG6" s="6" t="s">
        <v>194</v>
      </c>
    </row>
    <row r="7" spans="1:33" ht="168" x14ac:dyDescent="0.2">
      <c r="A7" s="6" t="s">
        <v>195</v>
      </c>
      <c r="B7" s="6" t="s">
        <v>196</v>
      </c>
      <c r="C7" s="6" t="s">
        <v>187</v>
      </c>
      <c r="D7" s="6" t="s">
        <v>163</v>
      </c>
      <c r="E7" s="6" t="s">
        <v>188</v>
      </c>
      <c r="F7" s="6" t="s">
        <v>165</v>
      </c>
      <c r="G7" s="6" t="s">
        <v>166</v>
      </c>
      <c r="H7" s="6">
        <v>7</v>
      </c>
      <c r="I7" s="6">
        <v>4</v>
      </c>
      <c r="J7" s="14">
        <v>2400000</v>
      </c>
      <c r="K7" s="15">
        <v>1200</v>
      </c>
      <c r="L7" s="15">
        <v>1.5</v>
      </c>
      <c r="M7" s="15">
        <v>6</v>
      </c>
      <c r="N7" s="15">
        <v>18</v>
      </c>
      <c r="O7" s="15">
        <v>1044</v>
      </c>
      <c r="P7" s="15">
        <v>654</v>
      </c>
      <c r="Q7" s="15">
        <v>380</v>
      </c>
      <c r="R7" s="15">
        <v>5</v>
      </c>
      <c r="S7" s="15">
        <v>30</v>
      </c>
      <c r="T7" s="15">
        <v>1</v>
      </c>
      <c r="U7" s="6" t="s">
        <v>197</v>
      </c>
      <c r="V7" s="15">
        <v>45</v>
      </c>
      <c r="W7" s="15">
        <v>45</v>
      </c>
      <c r="X7" s="11">
        <v>0.8</v>
      </c>
      <c r="Y7" s="16">
        <v>0</v>
      </c>
      <c r="Z7" s="16">
        <v>1</v>
      </c>
      <c r="AA7" s="6" t="s">
        <v>190</v>
      </c>
      <c r="AB7" s="6" t="s">
        <v>169</v>
      </c>
      <c r="AC7" s="6" t="s">
        <v>191</v>
      </c>
      <c r="AD7" s="6" t="s">
        <v>198</v>
      </c>
      <c r="AE7" s="6" t="s">
        <v>172</v>
      </c>
      <c r="AF7" s="6" t="s">
        <v>173</v>
      </c>
      <c r="AG7" s="6" t="s">
        <v>199</v>
      </c>
    </row>
    <row r="8" spans="1:33" ht="56" x14ac:dyDescent="0.2">
      <c r="A8" s="6" t="s">
        <v>200</v>
      </c>
      <c r="B8" s="6" t="s">
        <v>201</v>
      </c>
      <c r="C8" s="6" t="s">
        <v>202</v>
      </c>
      <c r="D8" s="6" t="s">
        <v>163</v>
      </c>
      <c r="E8" s="6" t="s">
        <v>188</v>
      </c>
      <c r="F8" s="6" t="s">
        <v>165</v>
      </c>
      <c r="G8" s="6" t="s">
        <v>179</v>
      </c>
      <c r="H8" s="6">
        <v>9</v>
      </c>
      <c r="I8" s="6">
        <v>4</v>
      </c>
      <c r="J8" s="14">
        <v>1800000</v>
      </c>
      <c r="K8" s="15">
        <v>800</v>
      </c>
      <c r="L8" s="15">
        <v>1.5</v>
      </c>
      <c r="M8" s="15">
        <v>20</v>
      </c>
      <c r="N8" s="15">
        <v>60</v>
      </c>
      <c r="O8" s="15">
        <v>1100</v>
      </c>
      <c r="P8" s="15">
        <v>600</v>
      </c>
      <c r="Q8" s="15">
        <v>230</v>
      </c>
      <c r="R8" s="15">
        <v>5</v>
      </c>
      <c r="S8" s="15">
        <v>30</v>
      </c>
      <c r="T8" s="15">
        <v>1</v>
      </c>
      <c r="U8" s="6" t="s">
        <v>203</v>
      </c>
      <c r="V8" s="15">
        <v>45</v>
      </c>
      <c r="W8" s="15">
        <v>45</v>
      </c>
      <c r="X8" s="11">
        <v>0.8</v>
      </c>
      <c r="Y8" s="16">
        <v>0</v>
      </c>
      <c r="Z8" s="16">
        <v>1</v>
      </c>
      <c r="AA8" s="6" t="s">
        <v>190</v>
      </c>
      <c r="AB8" s="6" t="s">
        <v>169</v>
      </c>
      <c r="AC8" s="6" t="s">
        <v>181</v>
      </c>
      <c r="AD8" s="6" t="s">
        <v>204</v>
      </c>
      <c r="AE8" s="6" t="s">
        <v>172</v>
      </c>
      <c r="AF8" s="6" t="s">
        <v>173</v>
      </c>
      <c r="AG8" s="6" t="s">
        <v>205</v>
      </c>
    </row>
    <row r="9" spans="1:33" ht="196" x14ac:dyDescent="0.2">
      <c r="A9" s="6" t="s">
        <v>206</v>
      </c>
      <c r="B9" s="6" t="s">
        <v>207</v>
      </c>
      <c r="C9" s="6" t="s">
        <v>187</v>
      </c>
      <c r="D9" s="6" t="s">
        <v>163</v>
      </c>
      <c r="E9" s="6" t="s">
        <v>188</v>
      </c>
      <c r="F9" s="6" t="s">
        <v>165</v>
      </c>
      <c r="G9" s="6" t="s">
        <v>166</v>
      </c>
      <c r="H9" s="6">
        <v>8</v>
      </c>
      <c r="I9" s="6">
        <v>4</v>
      </c>
      <c r="J9" s="14">
        <v>1400000</v>
      </c>
      <c r="K9" s="16">
        <v>10</v>
      </c>
      <c r="L9" s="16">
        <v>2.5</v>
      </c>
      <c r="M9" s="16">
        <v>10</v>
      </c>
      <c r="N9" s="16">
        <v>60</v>
      </c>
      <c r="O9" s="16">
        <v>420</v>
      </c>
      <c r="P9" s="16">
        <v>400</v>
      </c>
      <c r="Q9" s="16">
        <v>200</v>
      </c>
      <c r="R9" s="16">
        <v>5</v>
      </c>
      <c r="S9" s="16">
        <v>30</v>
      </c>
      <c r="T9" s="15">
        <v>0.3</v>
      </c>
      <c r="U9" s="6" t="s">
        <v>197</v>
      </c>
      <c r="V9" s="15">
        <v>20</v>
      </c>
      <c r="W9" s="15">
        <v>20</v>
      </c>
      <c r="X9" s="11">
        <v>0.5</v>
      </c>
      <c r="Y9" s="16">
        <v>0</v>
      </c>
      <c r="Z9" s="16">
        <v>1</v>
      </c>
      <c r="AA9" s="6" t="s">
        <v>208</v>
      </c>
      <c r="AB9" s="6" t="s">
        <v>169</v>
      </c>
      <c r="AC9" s="6" t="s">
        <v>209</v>
      </c>
      <c r="AD9" s="6" t="s">
        <v>210</v>
      </c>
      <c r="AE9" s="6" t="s">
        <v>193</v>
      </c>
      <c r="AF9" s="6" t="s">
        <v>173</v>
      </c>
      <c r="AG9" s="6" t="s">
        <v>211</v>
      </c>
    </row>
    <row r="10" spans="1:33" ht="140" x14ac:dyDescent="0.2">
      <c r="A10" s="6" t="s">
        <v>212</v>
      </c>
      <c r="B10" s="6" t="s">
        <v>213</v>
      </c>
      <c r="C10" s="6" t="s">
        <v>214</v>
      </c>
      <c r="D10" s="6" t="s">
        <v>163</v>
      </c>
      <c r="E10" s="6" t="s">
        <v>215</v>
      </c>
      <c r="F10" s="6" t="s">
        <v>216</v>
      </c>
      <c r="G10" s="6" t="s">
        <v>217</v>
      </c>
      <c r="H10" s="6"/>
      <c r="I10" s="6"/>
      <c r="J10" s="14"/>
      <c r="K10" s="15">
        <v>10</v>
      </c>
      <c r="L10" s="15">
        <v>1.2</v>
      </c>
      <c r="M10" s="15">
        <v>12</v>
      </c>
      <c r="N10" s="15">
        <v>240</v>
      </c>
      <c r="O10" s="15">
        <v>580</v>
      </c>
      <c r="P10" s="15">
        <v>535</v>
      </c>
      <c r="Q10" s="15">
        <v>1290</v>
      </c>
      <c r="R10" s="15">
        <v>5</v>
      </c>
      <c r="S10" s="15">
        <v>35</v>
      </c>
      <c r="T10" s="15">
        <v>0.3</v>
      </c>
      <c r="U10" s="6" t="s">
        <v>218</v>
      </c>
      <c r="V10" s="15">
        <v>20</v>
      </c>
      <c r="W10" s="15">
        <v>20</v>
      </c>
      <c r="X10" s="11">
        <v>0.5</v>
      </c>
      <c r="Y10" s="16">
        <v>0</v>
      </c>
      <c r="Z10" s="16">
        <v>1</v>
      </c>
      <c r="AA10" s="6" t="s">
        <v>208</v>
      </c>
      <c r="AB10" s="6" t="s">
        <v>169</v>
      </c>
      <c r="AC10" s="6" t="s">
        <v>219</v>
      </c>
      <c r="AD10" s="6" t="s">
        <v>220</v>
      </c>
      <c r="AE10" s="6" t="s">
        <v>172</v>
      </c>
      <c r="AF10" s="6" t="s">
        <v>173</v>
      </c>
      <c r="AG10" s="6" t="s">
        <v>221</v>
      </c>
    </row>
    <row r="11" spans="1:33" ht="280" x14ac:dyDescent="0.2">
      <c r="A11" s="6" t="s">
        <v>222</v>
      </c>
      <c r="B11" s="6" t="s">
        <v>223</v>
      </c>
      <c r="C11" s="6" t="s">
        <v>224</v>
      </c>
      <c r="D11" s="6" t="s">
        <v>178</v>
      </c>
      <c r="E11" s="6" t="s">
        <v>225</v>
      </c>
      <c r="F11" s="6" t="s">
        <v>226</v>
      </c>
      <c r="G11" s="6" t="s">
        <v>179</v>
      </c>
      <c r="H11" s="6">
        <v>8</v>
      </c>
      <c r="I11" s="6">
        <v>3</v>
      </c>
      <c r="J11" s="14">
        <v>4000000</v>
      </c>
      <c r="K11" s="16">
        <v>3000</v>
      </c>
      <c r="L11" s="16">
        <v>4.17</v>
      </c>
      <c r="M11" s="16">
        <v>24</v>
      </c>
      <c r="N11" s="16">
        <v>30</v>
      </c>
      <c r="O11" s="16">
        <v>2300</v>
      </c>
      <c r="P11" s="16">
        <v>1400</v>
      </c>
      <c r="Q11" s="16">
        <v>1500</v>
      </c>
      <c r="R11" s="16">
        <v>-40</v>
      </c>
      <c r="S11" s="16">
        <v>45</v>
      </c>
      <c r="T11" s="15">
        <v>6</v>
      </c>
      <c r="U11" s="6" t="s">
        <v>227</v>
      </c>
      <c r="V11" s="15">
        <v>180</v>
      </c>
      <c r="W11" s="15">
        <v>180</v>
      </c>
      <c r="X11" s="11">
        <v>0.8</v>
      </c>
      <c r="Y11" s="16">
        <v>1</v>
      </c>
      <c r="Z11" s="16">
        <v>0</v>
      </c>
      <c r="AA11" s="6" t="s">
        <v>228</v>
      </c>
      <c r="AB11" s="6" t="s">
        <v>169</v>
      </c>
      <c r="AC11" s="6" t="s">
        <v>229</v>
      </c>
      <c r="AD11" s="6" t="s">
        <v>192</v>
      </c>
      <c r="AE11" s="6" t="s">
        <v>193</v>
      </c>
      <c r="AF11" s="6" t="s">
        <v>173</v>
      </c>
      <c r="AG11" s="6" t="s">
        <v>230</v>
      </c>
    </row>
    <row r="12" spans="1:33" ht="196" x14ac:dyDescent="0.2">
      <c r="A12" s="6" t="s">
        <v>231</v>
      </c>
      <c r="B12" s="6" t="s">
        <v>232</v>
      </c>
      <c r="C12" s="6" t="s">
        <v>233</v>
      </c>
      <c r="D12" s="6" t="s">
        <v>178</v>
      </c>
      <c r="E12" s="6" t="s">
        <v>234</v>
      </c>
      <c r="F12" s="6" t="s">
        <v>226</v>
      </c>
      <c r="G12" s="6" t="s">
        <v>179</v>
      </c>
      <c r="H12" s="6">
        <v>9</v>
      </c>
      <c r="I12" s="6">
        <v>5</v>
      </c>
      <c r="J12" s="14">
        <v>6000000</v>
      </c>
      <c r="K12" s="16">
        <v>2000</v>
      </c>
      <c r="L12" s="16">
        <v>5.56</v>
      </c>
      <c r="M12" s="16">
        <v>8</v>
      </c>
      <c r="N12" s="16">
        <v>30</v>
      </c>
      <c r="O12" s="16">
        <v>5000</v>
      </c>
      <c r="P12" s="16">
        <v>1800</v>
      </c>
      <c r="Q12" s="16">
        <v>2200</v>
      </c>
      <c r="R12" s="16">
        <v>-40</v>
      </c>
      <c r="S12" s="16">
        <v>50</v>
      </c>
      <c r="T12" s="15">
        <v>6</v>
      </c>
      <c r="U12" s="6" t="s">
        <v>235</v>
      </c>
      <c r="V12" s="15">
        <v>240</v>
      </c>
      <c r="W12" s="15">
        <v>240</v>
      </c>
      <c r="X12" s="11">
        <v>0.8</v>
      </c>
      <c r="Y12" s="16">
        <v>1</v>
      </c>
      <c r="Z12" s="16">
        <v>0</v>
      </c>
      <c r="AA12" s="6" t="s">
        <v>208</v>
      </c>
      <c r="AB12" s="6" t="s">
        <v>169</v>
      </c>
      <c r="AC12" s="6" t="s">
        <v>236</v>
      </c>
      <c r="AD12" s="6" t="s">
        <v>192</v>
      </c>
      <c r="AE12" s="6" t="s">
        <v>193</v>
      </c>
      <c r="AF12" s="6" t="s">
        <v>173</v>
      </c>
      <c r="AG12" s="6" t="s">
        <v>237</v>
      </c>
    </row>
    <row r="13" spans="1:33" ht="182" x14ac:dyDescent="0.2">
      <c r="A13" s="6" t="s">
        <v>238</v>
      </c>
      <c r="B13" s="6" t="s">
        <v>239</v>
      </c>
      <c r="C13" s="6" t="s">
        <v>240</v>
      </c>
      <c r="D13" s="6" t="s">
        <v>163</v>
      </c>
      <c r="E13" s="6" t="s">
        <v>241</v>
      </c>
      <c r="F13" s="6" t="s">
        <v>242</v>
      </c>
      <c r="G13" s="6" t="s">
        <v>179</v>
      </c>
      <c r="H13" s="6">
        <v>9</v>
      </c>
      <c r="I13" s="6">
        <v>4</v>
      </c>
      <c r="J13" s="14">
        <v>1900000</v>
      </c>
      <c r="K13" s="16">
        <v>0</v>
      </c>
      <c r="L13" s="16">
        <v>1</v>
      </c>
      <c r="M13" s="16">
        <v>3</v>
      </c>
      <c r="N13" s="16">
        <v>120</v>
      </c>
      <c r="O13" s="16">
        <v>860</v>
      </c>
      <c r="P13" s="16">
        <v>610</v>
      </c>
      <c r="Q13" s="16">
        <v>980</v>
      </c>
      <c r="R13" s="16">
        <v>5</v>
      </c>
      <c r="S13" s="16">
        <v>35</v>
      </c>
      <c r="T13" s="15">
        <v>1</v>
      </c>
      <c r="U13" s="6" t="s">
        <v>243</v>
      </c>
      <c r="V13" s="15">
        <v>0</v>
      </c>
      <c r="W13" s="15">
        <v>0</v>
      </c>
      <c r="X13" s="11">
        <v>0.7</v>
      </c>
      <c r="Y13" s="16">
        <v>0</v>
      </c>
      <c r="Z13" s="16">
        <v>1</v>
      </c>
      <c r="AA13" s="6" t="s">
        <v>244</v>
      </c>
      <c r="AB13" s="6" t="s">
        <v>245</v>
      </c>
      <c r="AC13" s="6" t="s">
        <v>246</v>
      </c>
      <c r="AD13" s="6" t="s">
        <v>192</v>
      </c>
      <c r="AE13" s="6" t="s">
        <v>193</v>
      </c>
      <c r="AF13" s="6" t="s">
        <v>173</v>
      </c>
      <c r="AG13" s="6" t="s">
        <v>247</v>
      </c>
    </row>
    <row r="15" spans="1:33" x14ac:dyDescent="0.2">
      <c r="A15" s="17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Normal="100" workbookViewId="0">
      <selection activeCell="D4" sqref="D4"/>
    </sheetView>
  </sheetViews>
  <sheetFormatPr baseColWidth="10" defaultColWidth="8.6640625" defaultRowHeight="15" x14ac:dyDescent="0.2"/>
  <cols>
    <col min="1" max="1" width="18" customWidth="1"/>
    <col min="2" max="2" width="70" customWidth="1"/>
    <col min="3" max="4" width="12" customWidth="1"/>
    <col min="5" max="6" width="8" customWidth="1"/>
    <col min="7" max="7" width="70" customWidth="1"/>
    <col min="8" max="8" width="14" customWidth="1"/>
  </cols>
  <sheetData>
    <row r="1" spans="1:9" ht="18" x14ac:dyDescent="0.2">
      <c r="A1" s="2" t="s">
        <v>17</v>
      </c>
    </row>
    <row r="3" spans="1:9" ht="30" customHeight="1" x14ac:dyDescent="0.2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</row>
    <row r="4" spans="1:9" s="93" customFormat="1" ht="26" x14ac:dyDescent="0.2">
      <c r="A4" s="90" t="s">
        <v>26</v>
      </c>
      <c r="B4" s="90" t="s">
        <v>27</v>
      </c>
      <c r="C4" s="90" t="s">
        <v>28</v>
      </c>
      <c r="D4" s="95">
        <v>1.302</v>
      </c>
      <c r="E4" s="90">
        <v>1.302</v>
      </c>
      <c r="F4" s="90">
        <v>1.302</v>
      </c>
      <c r="G4" s="90" t="s">
        <v>29</v>
      </c>
      <c r="H4" s="110" t="s">
        <v>30</v>
      </c>
      <c r="I4" s="93" t="s">
        <v>1111</v>
      </c>
    </row>
    <row r="5" spans="1:9" s="93" customFormat="1" ht="28" x14ac:dyDescent="0.2">
      <c r="A5" s="90" t="s">
        <v>31</v>
      </c>
      <c r="B5" s="90" t="s">
        <v>32</v>
      </c>
      <c r="C5" s="90" t="s">
        <v>33</v>
      </c>
      <c r="D5" s="105">
        <v>0.8</v>
      </c>
      <c r="E5" s="90">
        <v>0.7</v>
      </c>
      <c r="F5" s="90">
        <v>0.85</v>
      </c>
      <c r="G5" s="90" t="s">
        <v>34</v>
      </c>
      <c r="H5" s="92" t="s">
        <v>30</v>
      </c>
      <c r="I5" s="93" t="s">
        <v>1112</v>
      </c>
    </row>
    <row r="6" spans="1:9" s="93" customFormat="1" x14ac:dyDescent="0.2">
      <c r="A6" s="90" t="s">
        <v>35</v>
      </c>
      <c r="B6" s="90" t="s">
        <v>36</v>
      </c>
      <c r="C6" s="90" t="s">
        <v>33</v>
      </c>
      <c r="D6" s="106">
        <v>0.9</v>
      </c>
      <c r="E6" s="90">
        <v>0.9</v>
      </c>
      <c r="F6" s="90">
        <v>0.98</v>
      </c>
      <c r="G6" s="90" t="s">
        <v>37</v>
      </c>
      <c r="H6" s="92" t="s">
        <v>38</v>
      </c>
      <c r="I6" s="93" t="s">
        <v>1113</v>
      </c>
    </row>
    <row r="7" spans="1:9" s="93" customFormat="1" ht="26" x14ac:dyDescent="0.2">
      <c r="A7" s="90" t="s">
        <v>39</v>
      </c>
      <c r="B7" s="90" t="s">
        <v>40</v>
      </c>
      <c r="C7" s="90" t="s">
        <v>33</v>
      </c>
      <c r="D7" s="105">
        <v>0.1</v>
      </c>
      <c r="E7" s="90">
        <v>0.15</v>
      </c>
      <c r="F7" s="90">
        <v>0.2</v>
      </c>
      <c r="G7" s="90" t="s">
        <v>41</v>
      </c>
      <c r="H7" s="92" t="s">
        <v>30</v>
      </c>
      <c r="I7" s="93" t="s">
        <v>1114</v>
      </c>
    </row>
    <row r="8" spans="1:9" s="93" customFormat="1" ht="28" x14ac:dyDescent="0.2">
      <c r="A8" s="90" t="s">
        <v>42</v>
      </c>
      <c r="B8" s="90" t="s">
        <v>43</v>
      </c>
      <c r="C8" s="90" t="s">
        <v>28</v>
      </c>
      <c r="D8" s="100">
        <v>1</v>
      </c>
      <c r="E8" s="90">
        <v>0.5</v>
      </c>
      <c r="F8" s="90">
        <v>0.8</v>
      </c>
      <c r="G8" s="90" t="s">
        <v>44</v>
      </c>
      <c r="H8" s="92" t="s">
        <v>38</v>
      </c>
      <c r="I8" s="93" t="s">
        <v>1115</v>
      </c>
    </row>
    <row r="9" spans="1:9" s="93" customFormat="1" x14ac:dyDescent="0.2">
      <c r="A9" s="90" t="s">
        <v>45</v>
      </c>
      <c r="B9" s="90" t="s">
        <v>46</v>
      </c>
      <c r="C9" s="90" t="s">
        <v>47</v>
      </c>
      <c r="D9" s="102">
        <v>2</v>
      </c>
      <c r="E9" s="90">
        <v>2</v>
      </c>
      <c r="F9" s="90">
        <v>6</v>
      </c>
      <c r="G9" s="90" t="s">
        <v>48</v>
      </c>
      <c r="H9" s="92" t="s">
        <v>38</v>
      </c>
      <c r="I9" s="93" t="s">
        <v>1116</v>
      </c>
    </row>
    <row r="10" spans="1:9" s="93" customFormat="1" x14ac:dyDescent="0.2">
      <c r="A10" s="90" t="s">
        <v>49</v>
      </c>
      <c r="B10" s="90" t="s">
        <v>50</v>
      </c>
      <c r="C10" s="90" t="s">
        <v>51</v>
      </c>
      <c r="D10" s="102">
        <v>1000</v>
      </c>
      <c r="E10" s="90">
        <v>150000</v>
      </c>
      <c r="F10" s="90">
        <v>500000</v>
      </c>
      <c r="G10" s="90" t="s">
        <v>52</v>
      </c>
      <c r="H10" s="92" t="s">
        <v>38</v>
      </c>
      <c r="I10" s="93" t="s">
        <v>1117</v>
      </c>
    </row>
    <row r="11" spans="1:9" s="93" customFormat="1" x14ac:dyDescent="0.2">
      <c r="A11" s="90" t="s">
        <v>53</v>
      </c>
      <c r="B11" s="90" t="s">
        <v>54</v>
      </c>
      <c r="C11" s="90" t="s">
        <v>55</v>
      </c>
      <c r="D11" s="102">
        <v>5</v>
      </c>
      <c r="E11" s="90">
        <v>3</v>
      </c>
      <c r="F11" s="90">
        <v>10</v>
      </c>
      <c r="G11" s="90" t="s">
        <v>56</v>
      </c>
      <c r="H11" s="92" t="s">
        <v>38</v>
      </c>
      <c r="I11" s="93" t="s">
        <v>1118</v>
      </c>
    </row>
    <row r="12" spans="1:9" s="93" customFormat="1" ht="28" x14ac:dyDescent="0.2">
      <c r="A12" s="90" t="s">
        <v>57</v>
      </c>
      <c r="B12" s="90" t="s">
        <v>58</v>
      </c>
      <c r="C12" s="90" t="s">
        <v>33</v>
      </c>
      <c r="D12" s="106">
        <v>0.1</v>
      </c>
      <c r="E12" s="90">
        <v>0.05</v>
      </c>
      <c r="F12" s="90">
        <v>0.15</v>
      </c>
      <c r="G12" s="90" t="s">
        <v>59</v>
      </c>
      <c r="H12" s="92" t="s">
        <v>38</v>
      </c>
      <c r="I12" s="93" t="s">
        <v>1119</v>
      </c>
    </row>
    <row r="13" spans="1:9" s="93" customFormat="1" x14ac:dyDescent="0.2">
      <c r="A13" s="90" t="s">
        <v>60</v>
      </c>
      <c r="B13" s="90" t="s">
        <v>61</v>
      </c>
      <c r="C13" s="90" t="s">
        <v>33</v>
      </c>
      <c r="D13" s="106">
        <v>0.05</v>
      </c>
      <c r="E13" s="90">
        <v>0.01</v>
      </c>
      <c r="F13" s="90">
        <v>0.05</v>
      </c>
      <c r="G13" s="90" t="s">
        <v>62</v>
      </c>
      <c r="H13" s="92" t="s">
        <v>38</v>
      </c>
      <c r="I13" s="93" t="s">
        <v>1120</v>
      </c>
    </row>
    <row r="14" spans="1:9" s="93" customFormat="1" x14ac:dyDescent="0.2">
      <c r="A14" s="90" t="s">
        <v>63</v>
      </c>
      <c r="B14" s="90" t="s">
        <v>64</v>
      </c>
      <c r="C14" s="90" t="s">
        <v>33</v>
      </c>
      <c r="D14" s="106">
        <v>0.1</v>
      </c>
      <c r="E14" s="90">
        <v>0.03</v>
      </c>
      <c r="F14" s="90">
        <v>0.1</v>
      </c>
      <c r="G14" s="90" t="s">
        <v>65</v>
      </c>
      <c r="H14" s="92" t="s">
        <v>38</v>
      </c>
      <c r="I14" s="93" t="s">
        <v>1121</v>
      </c>
    </row>
    <row r="15" spans="1:9" s="93" customFormat="1" x14ac:dyDescent="0.2">
      <c r="A15" s="90" t="s">
        <v>66</v>
      </c>
      <c r="B15" s="90" t="s">
        <v>67</v>
      </c>
      <c r="C15" s="90" t="s">
        <v>51</v>
      </c>
      <c r="D15" s="102">
        <v>500</v>
      </c>
      <c r="E15" s="90">
        <v>100000</v>
      </c>
      <c r="F15" s="90">
        <v>1000000</v>
      </c>
      <c r="G15" s="90" t="s">
        <v>59</v>
      </c>
      <c r="H15" s="92" t="s">
        <v>38</v>
      </c>
      <c r="I15" s="93" t="s">
        <v>1122</v>
      </c>
    </row>
    <row r="16" spans="1:9" s="93" customFormat="1" ht="26" x14ac:dyDescent="0.2">
      <c r="A16" s="90" t="s">
        <v>68</v>
      </c>
      <c r="B16" s="90" t="s">
        <v>69</v>
      </c>
      <c r="C16" s="90" t="s">
        <v>33</v>
      </c>
      <c r="D16" s="105">
        <v>0.1</v>
      </c>
      <c r="E16" s="90">
        <v>0.1</v>
      </c>
      <c r="F16" s="90">
        <v>0.1</v>
      </c>
      <c r="G16" s="90" t="s">
        <v>70</v>
      </c>
      <c r="H16" s="92" t="s">
        <v>30</v>
      </c>
      <c r="I16" s="93" t="s">
        <v>1123</v>
      </c>
    </row>
    <row r="17" spans="1:9" s="93" customFormat="1" x14ac:dyDescent="0.2">
      <c r="A17" s="90" t="s">
        <v>71</v>
      </c>
      <c r="B17" s="90" t="s">
        <v>72</v>
      </c>
      <c r="C17" s="90" t="s">
        <v>73</v>
      </c>
      <c r="D17" s="106">
        <v>0.05</v>
      </c>
      <c r="E17" s="90">
        <v>0.05</v>
      </c>
      <c r="F17" s="90">
        <v>0.1</v>
      </c>
      <c r="G17" s="90" t="s">
        <v>74</v>
      </c>
      <c r="H17" s="92" t="s">
        <v>38</v>
      </c>
      <c r="I17" s="93" t="s">
        <v>1124</v>
      </c>
    </row>
    <row r="18" spans="1:9" s="93" customFormat="1" x14ac:dyDescent="0.2">
      <c r="A18" s="90" t="s">
        <v>75</v>
      </c>
      <c r="B18" s="90" t="s">
        <v>76</v>
      </c>
      <c r="C18" s="90" t="s">
        <v>73</v>
      </c>
      <c r="D18" s="106">
        <v>0.02</v>
      </c>
      <c r="E18" s="90">
        <v>0.02</v>
      </c>
      <c r="F18" s="90">
        <v>0.05</v>
      </c>
      <c r="G18" s="90" t="s">
        <v>59</v>
      </c>
      <c r="H18" s="92" t="s">
        <v>38</v>
      </c>
      <c r="I18" s="93" t="s">
        <v>1125</v>
      </c>
    </row>
    <row r="19" spans="1:9" s="93" customFormat="1" ht="28" x14ac:dyDescent="0.2">
      <c r="A19" s="90" t="s">
        <v>77</v>
      </c>
      <c r="B19" s="90" t="s">
        <v>78</v>
      </c>
      <c r="C19" s="90" t="s">
        <v>73</v>
      </c>
      <c r="D19" s="106">
        <v>0.03</v>
      </c>
      <c r="E19" s="90">
        <v>0.01</v>
      </c>
      <c r="F19" s="90">
        <v>0.04</v>
      </c>
      <c r="G19" s="90" t="s">
        <v>59</v>
      </c>
      <c r="H19" s="92" t="s">
        <v>38</v>
      </c>
      <c r="I19" s="93" t="s">
        <v>1126</v>
      </c>
    </row>
    <row r="20" spans="1:9" s="93" customFormat="1" x14ac:dyDescent="0.2">
      <c r="A20" s="90" t="s">
        <v>79</v>
      </c>
      <c r="B20" s="90" t="s">
        <v>80</v>
      </c>
      <c r="C20" s="90" t="s">
        <v>81</v>
      </c>
      <c r="D20" s="100">
        <v>0.2</v>
      </c>
      <c r="E20" s="90">
        <v>5</v>
      </c>
      <c r="F20" s="90">
        <v>10</v>
      </c>
      <c r="G20" s="90" t="s">
        <v>82</v>
      </c>
      <c r="H20" s="92" t="s">
        <v>38</v>
      </c>
      <c r="I20" s="93" t="s">
        <v>1127</v>
      </c>
    </row>
    <row r="21" spans="1:9" s="93" customFormat="1" ht="26" x14ac:dyDescent="0.2">
      <c r="A21" s="90" t="s">
        <v>83</v>
      </c>
      <c r="B21" s="90" t="s">
        <v>84</v>
      </c>
      <c r="C21" s="90" t="s">
        <v>85</v>
      </c>
      <c r="D21" s="96">
        <v>4</v>
      </c>
      <c r="E21" s="90">
        <v>3</v>
      </c>
      <c r="F21" s="90">
        <v>5</v>
      </c>
      <c r="G21" s="90" t="s">
        <v>86</v>
      </c>
      <c r="H21" s="92" t="s">
        <v>30</v>
      </c>
      <c r="I21" s="93" t="s">
        <v>1128</v>
      </c>
    </row>
    <row r="22" spans="1:9" s="93" customFormat="1" x14ac:dyDescent="0.2">
      <c r="A22" s="90" t="s">
        <v>87</v>
      </c>
      <c r="B22" s="90" t="s">
        <v>88</v>
      </c>
      <c r="C22" s="90" t="s">
        <v>33</v>
      </c>
      <c r="D22" s="106">
        <v>0.1</v>
      </c>
      <c r="E22" s="90">
        <v>0.05</v>
      </c>
      <c r="F22" s="90">
        <v>0.15</v>
      </c>
      <c r="G22" s="90" t="s">
        <v>59</v>
      </c>
      <c r="H22" s="92" t="s">
        <v>38</v>
      </c>
      <c r="I22" s="93" t="s">
        <v>1129</v>
      </c>
    </row>
    <row r="23" spans="1:9" s="93" customFormat="1" x14ac:dyDescent="0.2">
      <c r="A23" s="90" t="s">
        <v>89</v>
      </c>
      <c r="B23" s="90" t="s">
        <v>90</v>
      </c>
      <c r="C23" s="90" t="s">
        <v>91</v>
      </c>
      <c r="D23" s="102">
        <v>100</v>
      </c>
      <c r="E23" s="90">
        <v>0</v>
      </c>
      <c r="F23" s="90">
        <v>300000</v>
      </c>
      <c r="G23" s="90" t="s">
        <v>59</v>
      </c>
      <c r="H23" s="92" t="s">
        <v>38</v>
      </c>
      <c r="I23" s="93" t="s">
        <v>1130</v>
      </c>
    </row>
    <row r="24" spans="1:9" s="93" customFormat="1" ht="28" x14ac:dyDescent="0.2">
      <c r="A24" s="90" t="s">
        <v>92</v>
      </c>
      <c r="B24" s="90" t="s">
        <v>93</v>
      </c>
      <c r="C24" s="90" t="s">
        <v>85</v>
      </c>
      <c r="D24" s="102">
        <v>10</v>
      </c>
      <c r="E24" s="90">
        <v>5</v>
      </c>
      <c r="F24" s="90">
        <v>10</v>
      </c>
      <c r="G24" s="90" t="s">
        <v>94</v>
      </c>
      <c r="H24" s="92" t="s">
        <v>38</v>
      </c>
      <c r="I24" s="93" t="s">
        <v>1131</v>
      </c>
    </row>
    <row r="25" spans="1:9" s="93" customFormat="1" ht="28" x14ac:dyDescent="0.2">
      <c r="A25" s="90" t="s">
        <v>95</v>
      </c>
      <c r="B25" s="90" t="s">
        <v>96</v>
      </c>
      <c r="C25" s="90" t="s">
        <v>97</v>
      </c>
      <c r="D25" s="106">
        <v>0.02</v>
      </c>
      <c r="E25" s="90">
        <v>2.5000000000000001E-2</v>
      </c>
      <c r="F25" s="90">
        <v>0.04</v>
      </c>
      <c r="G25" s="90" t="s">
        <v>98</v>
      </c>
      <c r="H25" s="92" t="s">
        <v>38</v>
      </c>
      <c r="I25" s="93" t="s">
        <v>1136</v>
      </c>
    </row>
    <row r="26" spans="1:9" s="93" customFormat="1" x14ac:dyDescent="0.2">
      <c r="A26" s="90" t="s">
        <v>99</v>
      </c>
      <c r="B26" s="90" t="s">
        <v>100</v>
      </c>
      <c r="C26" s="90" t="s">
        <v>33</v>
      </c>
      <c r="D26" s="106">
        <v>0.1</v>
      </c>
      <c r="E26" s="90">
        <v>0</v>
      </c>
      <c r="F26" s="90">
        <v>0.1</v>
      </c>
      <c r="G26" s="90" t="s">
        <v>59</v>
      </c>
      <c r="H26" s="92" t="s">
        <v>38</v>
      </c>
      <c r="I26" s="93" t="s">
        <v>1137</v>
      </c>
    </row>
    <row r="27" spans="1:9" s="93" customFormat="1" x14ac:dyDescent="0.2">
      <c r="A27" s="90" t="s">
        <v>101</v>
      </c>
      <c r="B27" s="90" t="s">
        <v>102</v>
      </c>
      <c r="C27" s="90" t="s">
        <v>103</v>
      </c>
      <c r="D27" s="100">
        <v>1</v>
      </c>
      <c r="E27" s="90">
        <v>0.3</v>
      </c>
      <c r="F27" s="90">
        <v>1</v>
      </c>
      <c r="G27" s="90" t="s">
        <v>104</v>
      </c>
      <c r="H27" s="92" t="s">
        <v>38</v>
      </c>
      <c r="I27" s="93" t="s">
        <v>1138</v>
      </c>
    </row>
    <row r="28" spans="1:9" s="93" customFormat="1" x14ac:dyDescent="0.2">
      <c r="A28" s="90" t="s">
        <v>105</v>
      </c>
      <c r="B28" s="90" t="s">
        <v>106</v>
      </c>
      <c r="C28" s="90" t="s">
        <v>73</v>
      </c>
      <c r="D28" s="106">
        <v>0.1</v>
      </c>
      <c r="E28" s="90">
        <v>0.1</v>
      </c>
      <c r="F28" s="90">
        <v>0.25</v>
      </c>
      <c r="G28" s="90" t="s">
        <v>59</v>
      </c>
      <c r="H28" s="92" t="s">
        <v>38</v>
      </c>
      <c r="I28" s="93" t="s">
        <v>1132</v>
      </c>
    </row>
    <row r="29" spans="1:9" s="93" customFormat="1" ht="28" x14ac:dyDescent="0.2">
      <c r="A29" s="90" t="s">
        <v>107</v>
      </c>
      <c r="B29" s="90" t="s">
        <v>108</v>
      </c>
      <c r="C29" s="90" t="s">
        <v>33</v>
      </c>
      <c r="D29" s="105">
        <v>0</v>
      </c>
      <c r="E29" s="90">
        <v>0</v>
      </c>
      <c r="F29" s="90">
        <v>1</v>
      </c>
      <c r="G29" s="90" t="s">
        <v>109</v>
      </c>
      <c r="H29" s="92" t="s">
        <v>30</v>
      </c>
      <c r="I29" s="93" t="s">
        <v>1133</v>
      </c>
    </row>
    <row r="30" spans="1:9" s="93" customFormat="1" x14ac:dyDescent="0.2">
      <c r="A30" s="90" t="s">
        <v>110</v>
      </c>
      <c r="B30" s="90" t="s">
        <v>111</v>
      </c>
      <c r="C30" s="90" t="s">
        <v>73</v>
      </c>
      <c r="D30" s="106">
        <v>0.2</v>
      </c>
      <c r="E30" s="90">
        <v>0.1</v>
      </c>
      <c r="F30" s="90">
        <v>0.3</v>
      </c>
      <c r="G30" s="90" t="s">
        <v>112</v>
      </c>
      <c r="H30" s="92" t="s">
        <v>38</v>
      </c>
      <c r="I30" s="93" t="s">
        <v>1134</v>
      </c>
    </row>
    <row r="31" spans="1:9" s="93" customFormat="1" x14ac:dyDescent="0.2">
      <c r="A31" s="90" t="s">
        <v>113</v>
      </c>
      <c r="B31" s="90" t="s">
        <v>114</v>
      </c>
      <c r="C31" s="90" t="s">
        <v>85</v>
      </c>
      <c r="D31" s="102">
        <v>3</v>
      </c>
      <c r="E31" s="90">
        <v>1</v>
      </c>
      <c r="F31" s="90">
        <v>7</v>
      </c>
      <c r="G31" s="90" t="s">
        <v>59</v>
      </c>
      <c r="H31" s="92" t="s">
        <v>38</v>
      </c>
      <c r="I31" s="93" t="s">
        <v>1135</v>
      </c>
    </row>
    <row r="32" spans="1:9" s="93" customFormat="1" ht="26" x14ac:dyDescent="0.2">
      <c r="A32" s="90" t="s">
        <v>115</v>
      </c>
      <c r="B32" s="90" t="s">
        <v>116</v>
      </c>
      <c r="C32" s="90" t="s">
        <v>85</v>
      </c>
      <c r="D32" s="96">
        <v>2</v>
      </c>
      <c r="E32" s="90">
        <v>2</v>
      </c>
      <c r="F32" s="90">
        <v>4</v>
      </c>
      <c r="G32" s="90" t="s">
        <v>117</v>
      </c>
      <c r="H32" s="92" t="s">
        <v>30</v>
      </c>
      <c r="I32" s="93" t="s">
        <v>1139</v>
      </c>
    </row>
    <row r="33" spans="1:9" s="93" customFormat="1" ht="26" x14ac:dyDescent="0.2">
      <c r="A33" s="90" t="s">
        <v>118</v>
      </c>
      <c r="B33" s="90" t="s">
        <v>119</v>
      </c>
      <c r="C33" s="90" t="s">
        <v>85</v>
      </c>
      <c r="D33" s="96">
        <v>4</v>
      </c>
      <c r="E33" s="90">
        <v>4</v>
      </c>
      <c r="F33" s="90">
        <v>7</v>
      </c>
      <c r="G33" s="90" t="s">
        <v>120</v>
      </c>
      <c r="H33" s="92" t="s">
        <v>30</v>
      </c>
      <c r="I33" s="93" t="s">
        <v>1140</v>
      </c>
    </row>
    <row r="34" spans="1:9" x14ac:dyDescent="0.2">
      <c r="A34" s="6" t="s">
        <v>121</v>
      </c>
      <c r="B34" s="6" t="s">
        <v>122</v>
      </c>
      <c r="C34" s="6" t="s">
        <v>33</v>
      </c>
      <c r="D34" s="10">
        <v>0.2</v>
      </c>
      <c r="E34" s="6">
        <v>0.1</v>
      </c>
      <c r="F34" s="6">
        <v>0.3</v>
      </c>
      <c r="G34" s="6" t="s">
        <v>123</v>
      </c>
      <c r="H34" s="8" t="s">
        <v>38</v>
      </c>
    </row>
    <row r="35" spans="1:9" s="93" customFormat="1" ht="28" x14ac:dyDescent="0.2">
      <c r="A35" s="90" t="s">
        <v>124</v>
      </c>
      <c r="B35" s="90" t="s">
        <v>125</v>
      </c>
      <c r="C35" s="90" t="s">
        <v>33</v>
      </c>
      <c r="D35" s="106">
        <v>0.25</v>
      </c>
      <c r="E35" s="90">
        <v>0.15</v>
      </c>
      <c r="F35" s="90">
        <v>0.35</v>
      </c>
      <c r="G35" s="90" t="s">
        <v>126</v>
      </c>
      <c r="H35" s="92" t="s">
        <v>38</v>
      </c>
      <c r="I35" s="93" t="s">
        <v>1101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36"/>
  <sheetViews>
    <sheetView tabSelected="1" zoomScaleNormal="100" workbookViewId="0">
      <pane xSplit="4" ySplit="3" topLeftCell="E155" activePane="bottomRight" state="frozen"/>
      <selection pane="topRight" activeCell="E1" sqref="E1"/>
      <selection pane="bottomLeft" activeCell="A4" sqref="A4"/>
      <selection pane="bottomRight" activeCell="F163" sqref="F163"/>
    </sheetView>
  </sheetViews>
  <sheetFormatPr baseColWidth="10" defaultColWidth="8.6640625" defaultRowHeight="15" x14ac:dyDescent="0.2"/>
  <cols>
    <col min="1" max="1" width="16" customWidth="1"/>
    <col min="2" max="2" width="62" customWidth="1"/>
    <col min="3" max="3" width="12" customWidth="1"/>
    <col min="4" max="4" width="40" customWidth="1"/>
    <col min="5" max="6" width="19" customWidth="1"/>
    <col min="7" max="7" width="46" customWidth="1"/>
    <col min="8" max="25" width="19" customWidth="1"/>
  </cols>
  <sheetData>
    <row r="1" spans="1:9" ht="18" x14ac:dyDescent="0.2">
      <c r="A1" s="2" t="s">
        <v>249</v>
      </c>
    </row>
    <row r="2" spans="1:9" x14ac:dyDescent="0.2">
      <c r="A2" s="17" t="s">
        <v>250</v>
      </c>
    </row>
    <row r="4" spans="1:9" ht="18" customHeight="1" x14ac:dyDescent="0.2">
      <c r="A4" s="18" t="s">
        <v>251</v>
      </c>
      <c r="B4" s="18"/>
      <c r="C4" s="18"/>
      <c r="D4" s="18"/>
      <c r="E4" s="18"/>
      <c r="F4" s="18"/>
      <c r="G4" s="18"/>
      <c r="H4" s="18"/>
    </row>
    <row r="5" spans="1:9" ht="30" customHeight="1" x14ac:dyDescent="0.2">
      <c r="A5" s="5" t="s">
        <v>252</v>
      </c>
      <c r="B5" s="5" t="s">
        <v>253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</row>
    <row r="6" spans="1:9" x14ac:dyDescent="0.2">
      <c r="A6" s="6" t="s">
        <v>254</v>
      </c>
      <c r="B6" s="6" t="s">
        <v>255</v>
      </c>
      <c r="C6" s="6" t="s">
        <v>256</v>
      </c>
      <c r="D6" s="13">
        <v>20000</v>
      </c>
      <c r="E6" s="6">
        <v>10000</v>
      </c>
      <c r="F6" s="6">
        <v>100000</v>
      </c>
      <c r="G6" s="6" t="s">
        <v>257</v>
      </c>
      <c r="H6" s="8" t="s">
        <v>258</v>
      </c>
    </row>
    <row r="7" spans="1:9" x14ac:dyDescent="0.2">
      <c r="A7" s="6" t="s">
        <v>259</v>
      </c>
      <c r="B7" s="6" t="s">
        <v>260</v>
      </c>
      <c r="C7" s="6" t="s">
        <v>256</v>
      </c>
      <c r="D7" s="13">
        <v>10000</v>
      </c>
      <c r="E7" s="6">
        <v>5000</v>
      </c>
      <c r="F7" s="6">
        <v>50000</v>
      </c>
      <c r="G7" s="6" t="s">
        <v>261</v>
      </c>
      <c r="H7" s="8" t="s">
        <v>258</v>
      </c>
    </row>
    <row r="8" spans="1:9" ht="28" x14ac:dyDescent="0.2">
      <c r="A8" s="6" t="s">
        <v>262</v>
      </c>
      <c r="B8" s="6" t="s">
        <v>263</v>
      </c>
      <c r="C8" s="6" t="s">
        <v>264</v>
      </c>
      <c r="D8" s="7">
        <v>3.5</v>
      </c>
      <c r="E8" s="6">
        <v>2.5</v>
      </c>
      <c r="F8" s="6">
        <v>6</v>
      </c>
      <c r="G8" s="6" t="s">
        <v>265</v>
      </c>
      <c r="H8" s="8" t="s">
        <v>258</v>
      </c>
    </row>
    <row r="9" spans="1:9" ht="28" x14ac:dyDescent="0.2">
      <c r="A9" s="6" t="s">
        <v>266</v>
      </c>
      <c r="B9" s="6" t="s">
        <v>267</v>
      </c>
      <c r="C9" s="6" t="s">
        <v>264</v>
      </c>
      <c r="D9" s="7">
        <v>2.8</v>
      </c>
      <c r="E9" s="6">
        <v>1.5</v>
      </c>
      <c r="F9" s="6">
        <v>4.5</v>
      </c>
      <c r="G9" s="6" t="s">
        <v>257</v>
      </c>
      <c r="H9" s="8" t="s">
        <v>258</v>
      </c>
    </row>
    <row r="10" spans="1:9" s="93" customFormat="1" x14ac:dyDescent="0.2">
      <c r="A10" s="90" t="s">
        <v>268</v>
      </c>
      <c r="B10" s="90" t="s">
        <v>269</v>
      </c>
      <c r="C10" s="90" t="s">
        <v>270</v>
      </c>
      <c r="D10" s="96">
        <v>2</v>
      </c>
      <c r="E10" s="90">
        <v>1</v>
      </c>
      <c r="F10" s="90">
        <v>3</v>
      </c>
      <c r="G10" s="90" t="s">
        <v>257</v>
      </c>
      <c r="H10" s="92" t="s">
        <v>258</v>
      </c>
      <c r="I10" s="93" t="s">
        <v>1100</v>
      </c>
    </row>
    <row r="11" spans="1:9" s="93" customFormat="1" ht="28" x14ac:dyDescent="0.2">
      <c r="A11" s="90" t="s">
        <v>271</v>
      </c>
      <c r="B11" s="90" t="s">
        <v>272</v>
      </c>
      <c r="C11" s="90" t="s">
        <v>273</v>
      </c>
      <c r="D11" s="96">
        <v>11</v>
      </c>
      <c r="E11" s="90">
        <v>10</v>
      </c>
      <c r="F11" s="90">
        <v>11</v>
      </c>
      <c r="G11" s="90" t="s">
        <v>257</v>
      </c>
      <c r="H11" s="92" t="s">
        <v>258</v>
      </c>
      <c r="I11" s="93" t="s">
        <v>1088</v>
      </c>
    </row>
    <row r="12" spans="1:9" x14ac:dyDescent="0.2">
      <c r="A12" s="6" t="s">
        <v>274</v>
      </c>
      <c r="B12" s="6" t="s">
        <v>275</v>
      </c>
      <c r="C12" s="6" t="s">
        <v>276</v>
      </c>
      <c r="D12" s="13">
        <v>365</v>
      </c>
      <c r="E12" s="6">
        <v>365</v>
      </c>
      <c r="F12" s="6">
        <v>365</v>
      </c>
      <c r="G12" s="6" t="s">
        <v>257</v>
      </c>
      <c r="H12" s="8" t="s">
        <v>258</v>
      </c>
    </row>
    <row r="13" spans="1:9" s="93" customFormat="1" ht="28" x14ac:dyDescent="0.2">
      <c r="A13" s="90" t="s">
        <v>277</v>
      </c>
      <c r="B13" s="90" t="s">
        <v>278</v>
      </c>
      <c r="C13" s="90" t="s">
        <v>28</v>
      </c>
      <c r="D13" s="95">
        <v>1.5</v>
      </c>
      <c r="E13" s="90">
        <v>1.2</v>
      </c>
      <c r="F13" s="90">
        <v>2.5</v>
      </c>
      <c r="G13" s="90" t="s">
        <v>257</v>
      </c>
      <c r="H13" s="92" t="s">
        <v>258</v>
      </c>
      <c r="I13" s="93" t="s">
        <v>1086</v>
      </c>
    </row>
    <row r="14" spans="1:9" s="93" customFormat="1" x14ac:dyDescent="0.2">
      <c r="A14" s="90" t="s">
        <v>279</v>
      </c>
      <c r="B14" s="90" t="s">
        <v>280</v>
      </c>
      <c r="C14" s="90" t="s">
        <v>281</v>
      </c>
      <c r="D14" s="96">
        <v>1000</v>
      </c>
      <c r="E14" s="90">
        <v>500</v>
      </c>
      <c r="F14" s="90">
        <v>5000</v>
      </c>
      <c r="G14" s="90" t="s">
        <v>257</v>
      </c>
      <c r="H14" s="92" t="s">
        <v>258</v>
      </c>
      <c r="I14" s="93" t="s">
        <v>1085</v>
      </c>
    </row>
    <row r="15" spans="1:9" s="93" customFormat="1" x14ac:dyDescent="0.2">
      <c r="A15" s="90" t="s">
        <v>282</v>
      </c>
      <c r="B15" s="90" t="s">
        <v>283</v>
      </c>
      <c r="C15" s="90" t="s">
        <v>281</v>
      </c>
      <c r="D15" s="96">
        <v>1000</v>
      </c>
      <c r="E15" s="90">
        <v>500</v>
      </c>
      <c r="F15" s="90">
        <v>5000</v>
      </c>
      <c r="G15" s="90" t="s">
        <v>257</v>
      </c>
      <c r="H15" s="92" t="s">
        <v>258</v>
      </c>
      <c r="I15" s="93" t="s">
        <v>1085</v>
      </c>
    </row>
    <row r="16" spans="1:9" ht="28" x14ac:dyDescent="0.2">
      <c r="A16" s="6" t="s">
        <v>284</v>
      </c>
      <c r="B16" s="6" t="s">
        <v>285</v>
      </c>
      <c r="C16" s="6" t="s">
        <v>286</v>
      </c>
      <c r="D16" s="13">
        <v>25</v>
      </c>
      <c r="E16" s="6">
        <v>5</v>
      </c>
      <c r="F16" s="6">
        <v>80</v>
      </c>
      <c r="G16" s="6" t="s">
        <v>287</v>
      </c>
      <c r="H16" s="8" t="s">
        <v>258</v>
      </c>
    </row>
    <row r="17" spans="1:9" s="93" customFormat="1" x14ac:dyDescent="0.2">
      <c r="A17" s="90" t="s">
        <v>288</v>
      </c>
      <c r="B17" s="90" t="s">
        <v>289</v>
      </c>
      <c r="C17" s="90" t="s">
        <v>290</v>
      </c>
      <c r="D17" s="96">
        <v>120000</v>
      </c>
      <c r="E17" s="90">
        <v>80000</v>
      </c>
      <c r="F17" s="90">
        <v>170000</v>
      </c>
      <c r="G17" s="90" t="s">
        <v>257</v>
      </c>
      <c r="H17" s="92" t="s">
        <v>258</v>
      </c>
      <c r="I17" s="93" t="s">
        <v>1102</v>
      </c>
    </row>
    <row r="18" spans="1:9" s="93" customFormat="1" ht="28" x14ac:dyDescent="0.2">
      <c r="A18" s="90" t="s">
        <v>291</v>
      </c>
      <c r="B18" s="90" t="s">
        <v>292</v>
      </c>
      <c r="C18" s="90" t="s">
        <v>33</v>
      </c>
      <c r="D18" s="105">
        <v>0.25</v>
      </c>
      <c r="E18" s="90">
        <v>0.15</v>
      </c>
      <c r="F18" s="90">
        <v>0.35</v>
      </c>
      <c r="G18" s="90" t="s">
        <v>257</v>
      </c>
      <c r="H18" s="92" t="s">
        <v>258</v>
      </c>
      <c r="I18" s="93" t="s">
        <v>1101</v>
      </c>
    </row>
    <row r="19" spans="1:9" x14ac:dyDescent="0.2">
      <c r="A19" s="6" t="s">
        <v>293</v>
      </c>
      <c r="B19" s="6" t="s">
        <v>294</v>
      </c>
      <c r="C19" s="6" t="s">
        <v>295</v>
      </c>
      <c r="D19" s="13">
        <v>800</v>
      </c>
      <c r="E19" s="6">
        <v>200</v>
      </c>
      <c r="F19" s="6">
        <v>1500</v>
      </c>
      <c r="G19" s="6" t="s">
        <v>257</v>
      </c>
      <c r="H19" s="8" t="s">
        <v>258</v>
      </c>
    </row>
    <row r="20" spans="1:9" ht="28" x14ac:dyDescent="0.2">
      <c r="A20" s="6" t="s">
        <v>296</v>
      </c>
      <c r="B20" s="6" t="s">
        <v>297</v>
      </c>
      <c r="C20" s="6" t="s">
        <v>33</v>
      </c>
      <c r="D20" s="9">
        <v>0.05</v>
      </c>
      <c r="E20" s="6">
        <v>0</v>
      </c>
      <c r="F20" s="6">
        <v>0.3</v>
      </c>
      <c r="G20" s="6" t="s">
        <v>257</v>
      </c>
      <c r="H20" s="8" t="s">
        <v>258</v>
      </c>
    </row>
    <row r="21" spans="1:9" s="93" customFormat="1" x14ac:dyDescent="0.2">
      <c r="A21" s="90" t="s">
        <v>298</v>
      </c>
      <c r="B21" s="90" t="s">
        <v>299</v>
      </c>
      <c r="C21" s="90" t="s">
        <v>55</v>
      </c>
      <c r="D21" s="96">
        <v>500</v>
      </c>
      <c r="E21" s="90">
        <v>100</v>
      </c>
      <c r="F21" s="90">
        <v>3000</v>
      </c>
      <c r="G21" s="90" t="s">
        <v>257</v>
      </c>
      <c r="H21" s="92" t="s">
        <v>258</v>
      </c>
      <c r="I21" s="93" t="s">
        <v>1094</v>
      </c>
    </row>
    <row r="22" spans="1:9" s="93" customFormat="1" ht="28" x14ac:dyDescent="0.2">
      <c r="A22" s="90" t="s">
        <v>300</v>
      </c>
      <c r="B22" s="90" t="s">
        <v>301</v>
      </c>
      <c r="C22" s="90" t="s">
        <v>302</v>
      </c>
      <c r="D22" s="96">
        <v>80</v>
      </c>
      <c r="E22" s="90">
        <v>10</v>
      </c>
      <c r="F22" s="90">
        <v>500</v>
      </c>
      <c r="G22" s="90" t="s">
        <v>257</v>
      </c>
      <c r="H22" s="92" t="s">
        <v>258</v>
      </c>
      <c r="I22" s="93" t="s">
        <v>1106</v>
      </c>
    </row>
    <row r="23" spans="1:9" s="93" customFormat="1" x14ac:dyDescent="0.2">
      <c r="A23" s="90" t="s">
        <v>303</v>
      </c>
      <c r="B23" s="90" t="s">
        <v>304</v>
      </c>
      <c r="C23" s="90" t="s">
        <v>85</v>
      </c>
      <c r="D23" s="96">
        <v>5</v>
      </c>
      <c r="E23" s="90">
        <v>3</v>
      </c>
      <c r="F23" s="90">
        <v>10</v>
      </c>
      <c r="G23" s="90" t="s">
        <v>257</v>
      </c>
      <c r="H23" s="92" t="s">
        <v>258</v>
      </c>
      <c r="I23" s="93" t="s">
        <v>1105</v>
      </c>
    </row>
    <row r="24" spans="1:9" s="113" customFormat="1" x14ac:dyDescent="0.2">
      <c r="B24" s="97"/>
      <c r="D24" s="98"/>
    </row>
    <row r="25" spans="1:9" ht="18" customHeight="1" x14ac:dyDescent="0.2">
      <c r="A25" s="18" t="s">
        <v>305</v>
      </c>
      <c r="B25" s="18"/>
      <c r="C25" s="18"/>
      <c r="D25" s="18"/>
      <c r="E25" s="18"/>
      <c r="F25" s="18"/>
      <c r="G25" s="18"/>
      <c r="H25" s="18"/>
    </row>
    <row r="26" spans="1:9" ht="30" customHeight="1" x14ac:dyDescent="0.2">
      <c r="A26" s="5" t="s">
        <v>252</v>
      </c>
      <c r="B26" s="5" t="s">
        <v>253</v>
      </c>
      <c r="C26" s="5" t="s">
        <v>20</v>
      </c>
      <c r="D26" s="5" t="s">
        <v>21</v>
      </c>
      <c r="E26" s="5" t="s">
        <v>22</v>
      </c>
      <c r="F26" s="5" t="s">
        <v>23</v>
      </c>
      <c r="G26" s="5" t="s">
        <v>24</v>
      </c>
      <c r="H26" s="5" t="s">
        <v>25</v>
      </c>
    </row>
    <row r="27" spans="1:9" s="93" customFormat="1" ht="42" x14ac:dyDescent="0.2">
      <c r="A27" s="90" t="s">
        <v>306</v>
      </c>
      <c r="B27" s="90" t="s">
        <v>307</v>
      </c>
      <c r="C27" s="90" t="s">
        <v>308</v>
      </c>
      <c r="D27" s="91">
        <f>Skl_in_pallets+Skl_out_pallets</f>
        <v>2000</v>
      </c>
      <c r="E27" s="90"/>
      <c r="F27" s="90"/>
      <c r="G27" s="90" t="s">
        <v>309</v>
      </c>
      <c r="H27" s="92" t="s">
        <v>310</v>
      </c>
    </row>
    <row r="28" spans="1:9" s="93" customFormat="1" ht="28" x14ac:dyDescent="0.2">
      <c r="A28" s="90" t="s">
        <v>311</v>
      </c>
      <c r="B28" s="90" t="s">
        <v>312</v>
      </c>
      <c r="C28" s="90" t="s">
        <v>33</v>
      </c>
      <c r="D28" s="112">
        <v>1</v>
      </c>
      <c r="E28" s="90"/>
      <c r="F28" s="90"/>
      <c r="G28" s="90" t="s">
        <v>309</v>
      </c>
      <c r="H28" s="92" t="s">
        <v>310</v>
      </c>
      <c r="I28" s="111" t="s">
        <v>1087</v>
      </c>
    </row>
    <row r="29" spans="1:9" ht="28" x14ac:dyDescent="0.2">
      <c r="A29" s="6" t="s">
        <v>313</v>
      </c>
      <c r="B29" s="6" t="s">
        <v>314</v>
      </c>
      <c r="C29" s="6" t="s">
        <v>273</v>
      </c>
      <c r="D29" s="21">
        <f>Skl_shifts*Skl_shift_h</f>
        <v>22</v>
      </c>
      <c r="E29" s="6"/>
      <c r="F29" s="6"/>
      <c r="G29" s="6" t="s">
        <v>309</v>
      </c>
      <c r="H29" s="8" t="s">
        <v>310</v>
      </c>
    </row>
    <row r="30" spans="1:9" s="93" customFormat="1" ht="28" x14ac:dyDescent="0.2">
      <c r="A30" s="90" t="s">
        <v>315</v>
      </c>
      <c r="B30" s="90" t="s">
        <v>316</v>
      </c>
      <c r="C30" s="90" t="s">
        <v>317</v>
      </c>
      <c r="D30" s="94">
        <f>Skl_ops_day/Skl_hours_day*Skl_peak_k</f>
        <v>136.36363636363637</v>
      </c>
      <c r="E30" s="90"/>
      <c r="F30" s="90"/>
      <c r="G30" s="90" t="s">
        <v>309</v>
      </c>
      <c r="H30" s="92" t="s">
        <v>310</v>
      </c>
    </row>
    <row r="31" spans="1:9" s="93" customFormat="1" x14ac:dyDescent="0.2">
      <c r="A31" s="90" t="s">
        <v>318</v>
      </c>
      <c r="B31" s="90" t="s">
        <v>319</v>
      </c>
      <c r="C31" s="90" t="s">
        <v>295</v>
      </c>
      <c r="D31" s="91">
        <f>Skl_pallet_mass</f>
        <v>800</v>
      </c>
      <c r="E31" s="90"/>
      <c r="F31" s="90"/>
      <c r="G31" s="90" t="s">
        <v>320</v>
      </c>
      <c r="H31" s="92" t="s">
        <v>310</v>
      </c>
      <c r="I31" s="93" t="s">
        <v>1092</v>
      </c>
    </row>
    <row r="32" spans="1:9" s="93" customFormat="1" ht="28" x14ac:dyDescent="0.2">
      <c r="A32" s="90" t="s">
        <v>321</v>
      </c>
      <c r="B32" s="90" t="s">
        <v>322</v>
      </c>
      <c r="C32" s="90" t="s">
        <v>323</v>
      </c>
      <c r="D32" s="102">
        <v>0</v>
      </c>
      <c r="E32" s="90">
        <v>0</v>
      </c>
      <c r="F32" s="90">
        <v>1</v>
      </c>
      <c r="G32" s="90" t="s">
        <v>324</v>
      </c>
      <c r="H32" s="92" t="s">
        <v>38</v>
      </c>
      <c r="I32" s="93" t="s">
        <v>1093</v>
      </c>
    </row>
    <row r="33" spans="1:10" s="93" customFormat="1" ht="42" x14ac:dyDescent="0.2">
      <c r="A33" s="90" t="s">
        <v>325</v>
      </c>
      <c r="B33" s="90" t="s">
        <v>326</v>
      </c>
      <c r="C33" s="90" t="s">
        <v>264</v>
      </c>
      <c r="D33" s="99">
        <f>SQRT(Skl_S_active)</f>
        <v>100</v>
      </c>
      <c r="E33" s="90"/>
      <c r="F33" s="90"/>
      <c r="G33" s="90" t="s">
        <v>327</v>
      </c>
      <c r="H33" s="92" t="s">
        <v>310</v>
      </c>
      <c r="I33" s="93" t="s">
        <v>1089</v>
      </c>
      <c r="J33" s="93" t="s">
        <v>1097</v>
      </c>
    </row>
    <row r="34" spans="1:10" s="93" customFormat="1" ht="28" x14ac:dyDescent="0.2">
      <c r="A34" s="90" t="s">
        <v>328</v>
      </c>
      <c r="B34" s="90" t="s">
        <v>329</v>
      </c>
      <c r="C34" s="90" t="s">
        <v>330</v>
      </c>
      <c r="D34" s="100">
        <v>1.5</v>
      </c>
      <c r="E34" s="90">
        <v>0.5</v>
      </c>
      <c r="F34" s="90">
        <v>2</v>
      </c>
      <c r="G34" s="90" t="s">
        <v>331</v>
      </c>
      <c r="H34" s="92" t="s">
        <v>38</v>
      </c>
      <c r="I34" s="93" t="s">
        <v>1090</v>
      </c>
      <c r="J34" s="101" t="s">
        <v>1091</v>
      </c>
    </row>
    <row r="35" spans="1:10" s="93" customFormat="1" x14ac:dyDescent="0.2">
      <c r="A35" s="90" t="s">
        <v>332</v>
      </c>
      <c r="B35" s="90" t="s">
        <v>333</v>
      </c>
      <c r="C35" s="90" t="s">
        <v>33</v>
      </c>
      <c r="D35" s="105">
        <v>0</v>
      </c>
      <c r="E35" s="90">
        <v>0</v>
      </c>
      <c r="F35" s="90">
        <v>1</v>
      </c>
      <c r="G35" s="90" t="s">
        <v>334</v>
      </c>
      <c r="H35" s="92" t="s">
        <v>258</v>
      </c>
      <c r="I35" s="93" t="s">
        <v>1107</v>
      </c>
    </row>
    <row r="36" spans="1:10" s="93" customFormat="1" ht="28" x14ac:dyDescent="0.2">
      <c r="A36" s="90" t="s">
        <v>335</v>
      </c>
      <c r="B36" s="90" t="s">
        <v>336</v>
      </c>
      <c r="C36" s="90" t="s">
        <v>337</v>
      </c>
      <c r="D36" s="96">
        <v>0</v>
      </c>
      <c r="E36" s="90">
        <v>0</v>
      </c>
      <c r="F36" s="90">
        <v>300</v>
      </c>
      <c r="G36" s="90" t="s">
        <v>338</v>
      </c>
      <c r="H36" s="92" t="s">
        <v>258</v>
      </c>
      <c r="I36" s="93" t="s">
        <v>1108</v>
      </c>
    </row>
    <row r="37" spans="1:10" ht="28" x14ac:dyDescent="0.2">
      <c r="A37" s="6" t="s">
        <v>339</v>
      </c>
      <c r="B37" s="6" t="s">
        <v>340</v>
      </c>
      <c r="C37" s="6" t="s">
        <v>264</v>
      </c>
      <c r="D37" s="22">
        <f>MIN(Skl_aisle_main,Skl_aisle_rack)</f>
        <v>2.8</v>
      </c>
      <c r="E37" s="6"/>
      <c r="F37" s="6"/>
      <c r="G37" s="6" t="s">
        <v>309</v>
      </c>
      <c r="H37" s="8" t="s">
        <v>310</v>
      </c>
    </row>
    <row r="38" spans="1:10" ht="28" x14ac:dyDescent="0.2">
      <c r="A38" s="6" t="s">
        <v>341</v>
      </c>
      <c r="B38" s="6" t="s">
        <v>342</v>
      </c>
      <c r="C38" s="6" t="s">
        <v>264</v>
      </c>
      <c r="D38" s="11">
        <v>0.6</v>
      </c>
      <c r="E38" s="6">
        <v>0.3</v>
      </c>
      <c r="F38" s="6">
        <v>1</v>
      </c>
      <c r="G38" s="6" t="s">
        <v>343</v>
      </c>
      <c r="H38" s="8" t="s">
        <v>38</v>
      </c>
    </row>
    <row r="39" spans="1:10" x14ac:dyDescent="0.2">
      <c r="A39" s="6" t="s">
        <v>344</v>
      </c>
      <c r="B39" s="6" t="s">
        <v>345</v>
      </c>
      <c r="C39" s="6" t="s">
        <v>323</v>
      </c>
      <c r="D39" s="13">
        <v>0</v>
      </c>
      <c r="E39" s="6">
        <v>0</v>
      </c>
      <c r="F39" s="6">
        <v>1</v>
      </c>
      <c r="G39" s="6" t="s">
        <v>346</v>
      </c>
      <c r="H39" s="8" t="s">
        <v>258</v>
      </c>
    </row>
    <row r="40" spans="1:10" x14ac:dyDescent="0.2">
      <c r="A40" s="6" t="s">
        <v>347</v>
      </c>
      <c r="B40" s="6" t="s">
        <v>348</v>
      </c>
      <c r="C40" s="6"/>
      <c r="D40" s="16" t="s">
        <v>169</v>
      </c>
      <c r="E40" s="6"/>
      <c r="F40" s="6"/>
      <c r="G40" s="6" t="s">
        <v>349</v>
      </c>
      <c r="H40" s="8" t="s">
        <v>258</v>
      </c>
    </row>
    <row r="41" spans="1:10" ht="42" x14ac:dyDescent="0.2">
      <c r="A41" s="6" t="s">
        <v>350</v>
      </c>
      <c r="B41" s="6" t="s">
        <v>351</v>
      </c>
      <c r="C41" s="6"/>
      <c r="D41" s="15" t="s">
        <v>352</v>
      </c>
      <c r="E41" s="6"/>
      <c r="F41" s="6"/>
      <c r="G41" s="6" t="s">
        <v>353</v>
      </c>
      <c r="H41" s="8" t="s">
        <v>38</v>
      </c>
    </row>
    <row r="42" spans="1:10" ht="28" x14ac:dyDescent="0.2">
      <c r="A42" s="6" t="s">
        <v>354</v>
      </c>
      <c r="B42" s="6" t="s">
        <v>355</v>
      </c>
      <c r="C42" s="6" t="s">
        <v>323</v>
      </c>
      <c r="D42" s="13">
        <v>1</v>
      </c>
      <c r="E42" s="6">
        <v>0</v>
      </c>
      <c r="F42" s="6">
        <v>1</v>
      </c>
      <c r="G42" s="6" t="s">
        <v>356</v>
      </c>
      <c r="H42" s="8" t="s">
        <v>258</v>
      </c>
    </row>
    <row r="43" spans="1:10" ht="28" x14ac:dyDescent="0.2">
      <c r="A43" s="6" t="s">
        <v>357</v>
      </c>
      <c r="B43" s="6" t="s">
        <v>358</v>
      </c>
      <c r="C43" s="6" t="s">
        <v>33</v>
      </c>
      <c r="D43" s="10">
        <v>0.5</v>
      </c>
      <c r="E43" s="6">
        <v>0.5</v>
      </c>
      <c r="F43" s="6">
        <v>0.9</v>
      </c>
      <c r="G43" s="6" t="s">
        <v>359</v>
      </c>
      <c r="H43" s="8" t="s">
        <v>38</v>
      </c>
      <c r="I43" t="s">
        <v>1104</v>
      </c>
    </row>
    <row r="44" spans="1:10" ht="28" x14ac:dyDescent="0.2">
      <c r="A44" s="6" t="s">
        <v>360</v>
      </c>
      <c r="B44" s="6" t="s">
        <v>361</v>
      </c>
      <c r="C44" s="6" t="s">
        <v>33</v>
      </c>
      <c r="D44" s="10">
        <v>0</v>
      </c>
      <c r="E44" s="6">
        <v>0.4</v>
      </c>
      <c r="F44" s="6">
        <v>0.9</v>
      </c>
      <c r="G44" s="6" t="s">
        <v>59</v>
      </c>
      <c r="H44" s="8" t="s">
        <v>38</v>
      </c>
    </row>
    <row r="45" spans="1:10" ht="28" x14ac:dyDescent="0.2">
      <c r="A45" s="6" t="s">
        <v>362</v>
      </c>
      <c r="B45" s="6" t="s">
        <v>363</v>
      </c>
      <c r="C45" s="6" t="s">
        <v>33</v>
      </c>
      <c r="D45" s="10">
        <v>0</v>
      </c>
      <c r="E45" s="6">
        <v>0.5</v>
      </c>
      <c r="F45" s="6">
        <v>0.9</v>
      </c>
      <c r="G45" s="6" t="s">
        <v>364</v>
      </c>
      <c r="H45" s="8" t="s">
        <v>38</v>
      </c>
    </row>
    <row r="46" spans="1:10" x14ac:dyDescent="0.2">
      <c r="A46" s="6" t="s">
        <v>365</v>
      </c>
      <c r="B46" s="6" t="s">
        <v>366</v>
      </c>
      <c r="C46" s="6" t="s">
        <v>33</v>
      </c>
      <c r="D46" s="10">
        <v>0</v>
      </c>
      <c r="E46" s="6">
        <v>0.3</v>
      </c>
      <c r="F46" s="6">
        <v>0.9</v>
      </c>
      <c r="G46" s="6" t="s">
        <v>367</v>
      </c>
      <c r="H46" s="8" t="s">
        <v>38</v>
      </c>
    </row>
    <row r="47" spans="1:10" x14ac:dyDescent="0.2">
      <c r="A47" s="6" t="s">
        <v>368</v>
      </c>
      <c r="B47" s="6" t="s">
        <v>369</v>
      </c>
      <c r="C47" s="6" t="s">
        <v>370</v>
      </c>
      <c r="D47" s="12">
        <v>5</v>
      </c>
      <c r="E47" s="6">
        <v>-30</v>
      </c>
      <c r="F47" s="6">
        <v>25</v>
      </c>
      <c r="G47" s="6" t="s">
        <v>371</v>
      </c>
      <c r="H47" s="8" t="s">
        <v>38</v>
      </c>
    </row>
    <row r="48" spans="1:10" s="93" customFormat="1" ht="42" x14ac:dyDescent="0.2">
      <c r="A48" s="90" t="s">
        <v>372</v>
      </c>
      <c r="B48" s="90" t="s">
        <v>373</v>
      </c>
      <c r="C48" s="90" t="s">
        <v>374</v>
      </c>
      <c r="D48" s="103">
        <f>Skl_forklift_ops*Skl_func_share*Skl_auto_share</f>
        <v>25</v>
      </c>
      <c r="E48" s="90"/>
      <c r="F48" s="90"/>
      <c r="G48" s="90" t="s">
        <v>375</v>
      </c>
      <c r="H48" s="92" t="s">
        <v>310</v>
      </c>
      <c r="I48" s="93" t="s">
        <v>1095</v>
      </c>
      <c r="J48" s="93" t="s">
        <v>1096</v>
      </c>
    </row>
    <row r="49" spans="1:25" ht="42" x14ac:dyDescent="0.2">
      <c r="A49" s="6" t="s">
        <v>376</v>
      </c>
      <c r="B49" s="6" t="s">
        <v>377</v>
      </c>
      <c r="C49" s="6" t="s">
        <v>33</v>
      </c>
      <c r="D49" s="10">
        <v>1</v>
      </c>
      <c r="E49" s="6">
        <v>0.5</v>
      </c>
      <c r="F49" s="6">
        <v>1</v>
      </c>
      <c r="G49" s="6" t="s">
        <v>378</v>
      </c>
      <c r="H49" s="8" t="s">
        <v>38</v>
      </c>
    </row>
    <row r="50" spans="1:25" s="93" customFormat="1" ht="28" x14ac:dyDescent="0.2">
      <c r="A50" s="90" t="s">
        <v>379</v>
      </c>
      <c r="B50" s="90" t="s">
        <v>380</v>
      </c>
      <c r="C50" s="90" t="s">
        <v>91</v>
      </c>
      <c r="D50" s="104">
        <f>Skl_fte_target*Skl_sal_forklift*12*N_fot</f>
        <v>46872000</v>
      </c>
      <c r="E50" s="90"/>
      <c r="F50" s="90"/>
      <c r="G50" s="90" t="s">
        <v>375</v>
      </c>
      <c r="H50" s="92" t="s">
        <v>310</v>
      </c>
      <c r="I50" s="93" t="s">
        <v>1098</v>
      </c>
    </row>
    <row r="51" spans="1:25" ht="28" x14ac:dyDescent="0.2">
      <c r="A51" s="6" t="s">
        <v>381</v>
      </c>
      <c r="B51" s="6" t="s">
        <v>382</v>
      </c>
      <c r="C51" s="6" t="s">
        <v>91</v>
      </c>
      <c r="D51" s="24">
        <f>Skl_forklift_ops*Skl_sal_forklift*12*N_fot</f>
        <v>46872000</v>
      </c>
      <c r="E51" s="6"/>
      <c r="F51" s="6"/>
      <c r="G51" s="6" t="s">
        <v>383</v>
      </c>
      <c r="H51" s="8" t="s">
        <v>310</v>
      </c>
    </row>
    <row r="52" spans="1:25" s="93" customFormat="1" ht="28" x14ac:dyDescent="0.2">
      <c r="A52" s="90" t="s">
        <v>384</v>
      </c>
      <c r="B52" s="90" t="s">
        <v>385</v>
      </c>
      <c r="C52" s="90" t="s">
        <v>290</v>
      </c>
      <c r="D52" s="91">
        <f>Skl_sal_forklift</f>
        <v>120000</v>
      </c>
      <c r="E52" s="90"/>
      <c r="F52" s="90"/>
      <c r="G52" s="90" t="s">
        <v>320</v>
      </c>
      <c r="H52" s="92" t="s">
        <v>310</v>
      </c>
    </row>
    <row r="53" spans="1:25" s="93" customFormat="1" ht="42" x14ac:dyDescent="0.2">
      <c r="A53" s="90" t="s">
        <v>386</v>
      </c>
      <c r="B53" s="90" t="s">
        <v>387</v>
      </c>
      <c r="C53" s="90" t="s">
        <v>33</v>
      </c>
      <c r="D53" s="106">
        <v>0</v>
      </c>
      <c r="E53" s="90">
        <v>0</v>
      </c>
      <c r="F53" s="90">
        <v>0.6</v>
      </c>
      <c r="G53" s="90" t="s">
        <v>388</v>
      </c>
      <c r="H53" s="92" t="s">
        <v>38</v>
      </c>
      <c r="I53" s="93" t="s">
        <v>1103</v>
      </c>
    </row>
    <row r="54" spans="1:25" s="93" customFormat="1" ht="28" x14ac:dyDescent="0.2">
      <c r="A54" s="90" t="s">
        <v>389</v>
      </c>
      <c r="B54" s="90" t="s">
        <v>390</v>
      </c>
      <c r="C54" s="90" t="s">
        <v>391</v>
      </c>
      <c r="D54" s="102">
        <v>1</v>
      </c>
      <c r="E54" s="90">
        <v>0</v>
      </c>
      <c r="F54" s="90">
        <v>3</v>
      </c>
      <c r="G54" s="90" t="s">
        <v>59</v>
      </c>
      <c r="H54" s="92" t="s">
        <v>38</v>
      </c>
      <c r="I54" s="93" t="s">
        <v>1099</v>
      </c>
    </row>
    <row r="55" spans="1:25" s="93" customFormat="1" x14ac:dyDescent="0.2">
      <c r="A55" s="90" t="s">
        <v>392</v>
      </c>
      <c r="B55" s="90" t="s">
        <v>393</v>
      </c>
      <c r="C55" s="90" t="s">
        <v>290</v>
      </c>
      <c r="D55" s="99">
        <f>Skl_sal_forklift</f>
        <v>120000</v>
      </c>
      <c r="E55" s="90"/>
      <c r="F55" s="90"/>
      <c r="G55" s="90" t="s">
        <v>394</v>
      </c>
      <c r="H55" s="92" t="s">
        <v>310</v>
      </c>
    </row>
    <row r="56" spans="1:25" s="93" customFormat="1" ht="28" x14ac:dyDescent="0.2">
      <c r="A56" s="90" t="s">
        <v>395</v>
      </c>
      <c r="B56" s="90" t="s">
        <v>396</v>
      </c>
      <c r="C56" s="90" t="s">
        <v>33</v>
      </c>
      <c r="D56" s="106">
        <v>0.05</v>
      </c>
      <c r="E56" s="90">
        <v>0.02</v>
      </c>
      <c r="F56" s="90">
        <v>0.15</v>
      </c>
      <c r="G56" s="90" t="s">
        <v>59</v>
      </c>
      <c r="H56" s="92" t="s">
        <v>38</v>
      </c>
      <c r="I56" s="93" t="s">
        <v>1141</v>
      </c>
    </row>
    <row r="57" spans="1:25" s="93" customFormat="1" ht="28" x14ac:dyDescent="0.2">
      <c r="A57" s="90" t="s">
        <v>397</v>
      </c>
      <c r="B57" s="90" t="s">
        <v>398</v>
      </c>
      <c r="C57" s="90" t="s">
        <v>51</v>
      </c>
      <c r="D57" s="108">
        <v>0</v>
      </c>
      <c r="E57" s="90">
        <v>500000</v>
      </c>
      <c r="F57" s="90">
        <v>6000000</v>
      </c>
      <c r="G57" s="90" t="s">
        <v>399</v>
      </c>
      <c r="H57" s="92" t="s">
        <v>38</v>
      </c>
      <c r="I57" s="93" t="s">
        <v>1109</v>
      </c>
    </row>
    <row r="58" spans="1:25" s="93" customFormat="1" ht="28" x14ac:dyDescent="0.2">
      <c r="A58" s="90" t="s">
        <v>400</v>
      </c>
      <c r="B58" s="90" t="s">
        <v>401</v>
      </c>
      <c r="C58" s="90" t="s">
        <v>91</v>
      </c>
      <c r="D58" s="108">
        <v>0</v>
      </c>
      <c r="E58" s="90">
        <v>0</v>
      </c>
      <c r="F58" s="90">
        <v>200000</v>
      </c>
      <c r="G58" s="90" t="s">
        <v>402</v>
      </c>
      <c r="H58" s="92" t="s">
        <v>38</v>
      </c>
      <c r="I58" s="93" t="s">
        <v>1110</v>
      </c>
    </row>
    <row r="59" spans="1:25" ht="28" x14ac:dyDescent="0.2">
      <c r="A59" s="6" t="s">
        <v>403</v>
      </c>
      <c r="B59" s="6" t="s">
        <v>404</v>
      </c>
      <c r="C59" s="6" t="s">
        <v>91</v>
      </c>
      <c r="D59" s="25">
        <v>0</v>
      </c>
      <c r="E59" s="6">
        <v>0</v>
      </c>
      <c r="F59" s="6"/>
      <c r="G59" s="6" t="s">
        <v>405</v>
      </c>
      <c r="H59" s="8" t="s">
        <v>38</v>
      </c>
    </row>
    <row r="61" spans="1:25" ht="18" customHeight="1" x14ac:dyDescent="0.2">
      <c r="A61" s="18" t="s">
        <v>406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x14ac:dyDescent="0.2">
      <c r="A62" s="26"/>
      <c r="B62" s="27" t="s">
        <v>407</v>
      </c>
      <c r="C62" s="26"/>
      <c r="D62" s="26"/>
      <c r="E62" s="28" t="s">
        <v>408</v>
      </c>
      <c r="F62" s="29" t="s">
        <v>408</v>
      </c>
      <c r="G62" s="29" t="s">
        <v>408</v>
      </c>
      <c r="H62" s="29" t="s">
        <v>408</v>
      </c>
      <c r="I62" s="29" t="s">
        <v>408</v>
      </c>
      <c r="J62" s="29" t="s">
        <v>408</v>
      </c>
      <c r="K62" s="29" t="s">
        <v>408</v>
      </c>
      <c r="L62" s="28" t="s">
        <v>409</v>
      </c>
      <c r="M62" s="29" t="s">
        <v>409</v>
      </c>
      <c r="N62" s="29" t="s">
        <v>409</v>
      </c>
      <c r="O62" s="29" t="s">
        <v>409</v>
      </c>
      <c r="P62" s="29" t="s">
        <v>409</v>
      </c>
      <c r="Q62" s="29" t="s">
        <v>409</v>
      </c>
      <c r="R62" s="29" t="s">
        <v>409</v>
      </c>
      <c r="S62" s="28" t="s">
        <v>410</v>
      </c>
      <c r="T62" s="29" t="s">
        <v>410</v>
      </c>
      <c r="U62" s="29" t="s">
        <v>410</v>
      </c>
      <c r="V62" s="29" t="s">
        <v>410</v>
      </c>
      <c r="W62" s="29" t="s">
        <v>410</v>
      </c>
      <c r="X62" s="29" t="s">
        <v>410</v>
      </c>
      <c r="Y62" s="29" t="s">
        <v>410</v>
      </c>
    </row>
    <row r="63" spans="1:25" x14ac:dyDescent="0.2">
      <c r="A63" s="26"/>
      <c r="B63" s="27" t="s">
        <v>411</v>
      </c>
      <c r="C63" s="26"/>
      <c r="D63" s="26"/>
      <c r="E63" s="109" t="s">
        <v>185</v>
      </c>
      <c r="F63" s="31" t="s">
        <v>160</v>
      </c>
      <c r="G63" s="31" t="s">
        <v>160</v>
      </c>
      <c r="H63" s="31" t="s">
        <v>160</v>
      </c>
      <c r="I63" s="31" t="s">
        <v>160</v>
      </c>
      <c r="J63" s="31" t="s">
        <v>160</v>
      </c>
      <c r="K63" s="31" t="s">
        <v>160</v>
      </c>
      <c r="L63" s="30" t="s">
        <v>160</v>
      </c>
      <c r="M63" s="31" t="s">
        <v>160</v>
      </c>
      <c r="N63" s="31" t="s">
        <v>160</v>
      </c>
      <c r="O63" s="31" t="s">
        <v>160</v>
      </c>
      <c r="P63" s="31" t="s">
        <v>160</v>
      </c>
      <c r="Q63" s="31" t="s">
        <v>160</v>
      </c>
      <c r="R63" s="31" t="s">
        <v>160</v>
      </c>
      <c r="S63" s="30" t="s">
        <v>185</v>
      </c>
      <c r="T63" s="31" t="s">
        <v>185</v>
      </c>
      <c r="U63" s="31" t="s">
        <v>185</v>
      </c>
      <c r="V63" s="31" t="s">
        <v>185</v>
      </c>
      <c r="W63" s="31" t="s">
        <v>185</v>
      </c>
      <c r="X63" s="31" t="s">
        <v>185</v>
      </c>
      <c r="Y63" s="31" t="s">
        <v>185</v>
      </c>
    </row>
    <row r="64" spans="1:25" x14ac:dyDescent="0.2">
      <c r="A64" s="26"/>
      <c r="B64" s="27" t="s">
        <v>412</v>
      </c>
      <c r="C64" s="26"/>
      <c r="D64" s="26"/>
      <c r="E64" s="30" t="s">
        <v>413</v>
      </c>
      <c r="F64" s="31" t="s">
        <v>413</v>
      </c>
      <c r="G64" s="31" t="s">
        <v>413</v>
      </c>
      <c r="H64" s="31" t="s">
        <v>413</v>
      </c>
      <c r="I64" s="31" t="s">
        <v>413</v>
      </c>
      <c r="J64" s="31" t="s">
        <v>413</v>
      </c>
      <c r="K64" s="31" t="s">
        <v>413</v>
      </c>
      <c r="L64" s="30" t="s">
        <v>414</v>
      </c>
      <c r="M64" s="31" t="s">
        <v>414</v>
      </c>
      <c r="N64" s="31" t="s">
        <v>414</v>
      </c>
      <c r="O64" s="31" t="s">
        <v>414</v>
      </c>
      <c r="P64" s="31" t="s">
        <v>414</v>
      </c>
      <c r="Q64" s="31" t="s">
        <v>414</v>
      </c>
      <c r="R64" s="31" t="s">
        <v>414</v>
      </c>
      <c r="S64" s="30" t="s">
        <v>413</v>
      </c>
      <c r="T64" s="31" t="s">
        <v>413</v>
      </c>
      <c r="U64" s="31" t="s">
        <v>413</v>
      </c>
      <c r="V64" s="31" t="s">
        <v>413</v>
      </c>
      <c r="W64" s="31" t="s">
        <v>413</v>
      </c>
      <c r="X64" s="31" t="s">
        <v>413</v>
      </c>
      <c r="Y64" s="31" t="s">
        <v>413</v>
      </c>
    </row>
    <row r="65" spans="1:25" x14ac:dyDescent="0.2">
      <c r="A65" s="26"/>
      <c r="B65" s="27" t="s">
        <v>415</v>
      </c>
      <c r="C65" s="26"/>
      <c r="D65" s="26"/>
      <c r="E65" s="32">
        <v>1</v>
      </c>
      <c r="F65" s="33">
        <f>1-N_sens</f>
        <v>0.8</v>
      </c>
      <c r="G65" s="33">
        <f>1+N_sens</f>
        <v>1.2</v>
      </c>
      <c r="H65" s="33">
        <v>1</v>
      </c>
      <c r="I65" s="33">
        <v>1</v>
      </c>
      <c r="J65" s="33">
        <v>1</v>
      </c>
      <c r="K65" s="33">
        <v>1</v>
      </c>
      <c r="L65" s="32">
        <v>1</v>
      </c>
      <c r="M65" s="33">
        <f>1-N_sens</f>
        <v>0.8</v>
      </c>
      <c r="N65" s="33">
        <f>1+N_sens</f>
        <v>1.2</v>
      </c>
      <c r="O65" s="33">
        <v>1</v>
      </c>
      <c r="P65" s="33">
        <v>1</v>
      </c>
      <c r="Q65" s="33">
        <v>1</v>
      </c>
      <c r="R65" s="33">
        <v>1</v>
      </c>
      <c r="S65" s="32">
        <v>1</v>
      </c>
      <c r="T65" s="33">
        <f>1-N_sens</f>
        <v>0.8</v>
      </c>
      <c r="U65" s="33">
        <f>1+N_sens</f>
        <v>1.2</v>
      </c>
      <c r="V65" s="33">
        <v>1</v>
      </c>
      <c r="W65" s="33">
        <v>1</v>
      </c>
      <c r="X65" s="33">
        <v>1</v>
      </c>
      <c r="Y65" s="33">
        <v>1</v>
      </c>
    </row>
    <row r="66" spans="1:25" x14ac:dyDescent="0.2">
      <c r="A66" s="26"/>
      <c r="B66" s="27" t="s">
        <v>416</v>
      </c>
      <c r="C66" s="26"/>
      <c r="D66" s="26"/>
      <c r="E66" s="32">
        <v>1</v>
      </c>
      <c r="F66" s="33">
        <v>1</v>
      </c>
      <c r="G66" s="33">
        <v>1</v>
      </c>
      <c r="H66" s="33">
        <f>1-N_sens</f>
        <v>0.8</v>
      </c>
      <c r="I66" s="33">
        <f>1+N_sens</f>
        <v>1.2</v>
      </c>
      <c r="J66" s="33">
        <v>1</v>
      </c>
      <c r="K66" s="33">
        <v>1</v>
      </c>
      <c r="L66" s="32">
        <v>1</v>
      </c>
      <c r="M66" s="33">
        <v>1</v>
      </c>
      <c r="N66" s="33">
        <v>1</v>
      </c>
      <c r="O66" s="33">
        <f>1-N_sens</f>
        <v>0.8</v>
      </c>
      <c r="P66" s="33">
        <f>1+N_sens</f>
        <v>1.2</v>
      </c>
      <c r="Q66" s="33">
        <v>1</v>
      </c>
      <c r="R66" s="33">
        <v>1</v>
      </c>
      <c r="S66" s="32">
        <v>1</v>
      </c>
      <c r="T66" s="33">
        <v>1</v>
      </c>
      <c r="U66" s="33">
        <v>1</v>
      </c>
      <c r="V66" s="33">
        <f>1-N_sens</f>
        <v>0.8</v>
      </c>
      <c r="W66" s="33">
        <f>1+N_sens</f>
        <v>1.2</v>
      </c>
      <c r="X66" s="33">
        <v>1</v>
      </c>
      <c r="Y66" s="33">
        <v>1</v>
      </c>
    </row>
    <row r="67" spans="1:25" x14ac:dyDescent="0.2">
      <c r="A67" s="26"/>
      <c r="B67" s="27" t="s">
        <v>417</v>
      </c>
      <c r="C67" s="26"/>
      <c r="D67" s="26"/>
      <c r="E67" s="32">
        <v>1</v>
      </c>
      <c r="F67" s="33">
        <v>1</v>
      </c>
      <c r="G67" s="33">
        <v>1</v>
      </c>
      <c r="H67" s="33">
        <v>1</v>
      </c>
      <c r="I67" s="33">
        <v>1</v>
      </c>
      <c r="J67" s="33">
        <f>1-N_sens</f>
        <v>0.8</v>
      </c>
      <c r="K67" s="33">
        <f>1+N_sens</f>
        <v>1.2</v>
      </c>
      <c r="L67" s="32">
        <v>1</v>
      </c>
      <c r="M67" s="33">
        <v>1</v>
      </c>
      <c r="N67" s="33">
        <v>1</v>
      </c>
      <c r="O67" s="33">
        <v>1</v>
      </c>
      <c r="P67" s="33">
        <v>1</v>
      </c>
      <c r="Q67" s="33">
        <f>1-N_sens</f>
        <v>0.8</v>
      </c>
      <c r="R67" s="33">
        <f>1+N_sens</f>
        <v>1.2</v>
      </c>
      <c r="S67" s="32">
        <v>1</v>
      </c>
      <c r="T67" s="33">
        <v>1</v>
      </c>
      <c r="U67" s="33">
        <v>1</v>
      </c>
      <c r="V67" s="33">
        <v>1</v>
      </c>
      <c r="W67" s="33">
        <v>1</v>
      </c>
      <c r="X67" s="33">
        <f>1-N_sens</f>
        <v>0.8</v>
      </c>
      <c r="Y67" s="33">
        <f>1+N_sens</f>
        <v>1.2</v>
      </c>
    </row>
    <row r="68" spans="1:25" x14ac:dyDescent="0.2">
      <c r="A68" s="26"/>
      <c r="B68" s="27" t="s">
        <v>418</v>
      </c>
      <c r="C68" s="26"/>
      <c r="D68" s="26"/>
      <c r="E68" s="28" t="s">
        <v>419</v>
      </c>
      <c r="F68" s="29" t="s">
        <v>420</v>
      </c>
      <c r="G68" s="29" t="s">
        <v>421</v>
      </c>
      <c r="H68" s="29" t="s">
        <v>422</v>
      </c>
      <c r="I68" s="29" t="s">
        <v>423</v>
      </c>
      <c r="J68" s="29" t="s">
        <v>424</v>
      </c>
      <c r="K68" s="29" t="s">
        <v>425</v>
      </c>
      <c r="L68" s="28" t="s">
        <v>419</v>
      </c>
      <c r="M68" s="29" t="s">
        <v>420</v>
      </c>
      <c r="N68" s="29" t="s">
        <v>421</v>
      </c>
      <c r="O68" s="29" t="s">
        <v>422</v>
      </c>
      <c r="P68" s="29" t="s">
        <v>423</v>
      </c>
      <c r="Q68" s="29" t="s">
        <v>424</v>
      </c>
      <c r="R68" s="29" t="s">
        <v>425</v>
      </c>
      <c r="S68" s="28" t="s">
        <v>419</v>
      </c>
      <c r="T68" s="29" t="s">
        <v>420</v>
      </c>
      <c r="U68" s="29" t="s">
        <v>421</v>
      </c>
      <c r="V68" s="29" t="s">
        <v>422</v>
      </c>
      <c r="W68" s="29" t="s">
        <v>423</v>
      </c>
      <c r="X68" s="29" t="s">
        <v>424</v>
      </c>
      <c r="Y68" s="29" t="s">
        <v>425</v>
      </c>
    </row>
    <row r="70" spans="1:25" s="78" customFormat="1" x14ac:dyDescent="0.2">
      <c r="A70" s="76"/>
      <c r="B70" s="77" t="s">
        <v>426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spans="1:25" s="78" customFormat="1" ht="28" x14ac:dyDescent="0.2">
      <c r="A71" s="79" t="s">
        <v>427</v>
      </c>
      <c r="B71" s="80" t="s">
        <v>428</v>
      </c>
      <c r="C71" s="80"/>
      <c r="D71" s="79" t="s">
        <v>429</v>
      </c>
      <c r="E71" s="80" t="str">
        <f t="shared" ref="E71:Y71" si="0">INDEX(Cat_name,MATCH(E$63,Cat_code,0))</f>
        <v>Ronavi H1500 (AMR, до 1500 кг)</v>
      </c>
      <c r="F71" s="80" t="str">
        <f t="shared" si="0"/>
        <v>DMR Carrier P (FMR, вилочный AMR)</v>
      </c>
      <c r="G71" s="80" t="str">
        <f t="shared" si="0"/>
        <v>DMR Carrier P (FMR, вилочный AMR)</v>
      </c>
      <c r="H71" s="80" t="str">
        <f t="shared" si="0"/>
        <v>DMR Carrier P (FMR, вилочный AMR)</v>
      </c>
      <c r="I71" s="80" t="str">
        <f t="shared" si="0"/>
        <v>DMR Carrier P (FMR, вилочный AMR)</v>
      </c>
      <c r="J71" s="80" t="str">
        <f t="shared" si="0"/>
        <v>DMR Carrier P (FMR, вилочный AMR)</v>
      </c>
      <c r="K71" s="80" t="str">
        <f t="shared" si="0"/>
        <v>DMR Carrier P (FMR, вилочный AMR)</v>
      </c>
      <c r="L71" s="80" t="str">
        <f t="shared" si="0"/>
        <v>DMR Carrier P (FMR, вилочный AMR)</v>
      </c>
      <c r="M71" s="80" t="str">
        <f t="shared" si="0"/>
        <v>DMR Carrier P (FMR, вилочный AMR)</v>
      </c>
      <c r="N71" s="80" t="str">
        <f t="shared" si="0"/>
        <v>DMR Carrier P (FMR, вилочный AMR)</v>
      </c>
      <c r="O71" s="80" t="str">
        <f t="shared" si="0"/>
        <v>DMR Carrier P (FMR, вилочный AMR)</v>
      </c>
      <c r="P71" s="80" t="str">
        <f t="shared" si="0"/>
        <v>DMR Carrier P (FMR, вилочный AMR)</v>
      </c>
      <c r="Q71" s="80" t="str">
        <f t="shared" si="0"/>
        <v>DMR Carrier P (FMR, вилочный AMR)</v>
      </c>
      <c r="R71" s="80" t="str">
        <f t="shared" si="0"/>
        <v>DMR Carrier P (FMR, вилочный AMR)</v>
      </c>
      <c r="S71" s="80" t="str">
        <f t="shared" si="0"/>
        <v>Ronavi H1500 (AMR, до 1500 кг)</v>
      </c>
      <c r="T71" s="80" t="str">
        <f t="shared" si="0"/>
        <v>Ronavi H1500 (AMR, до 1500 кг)</v>
      </c>
      <c r="U71" s="80" t="str">
        <f t="shared" si="0"/>
        <v>Ronavi H1500 (AMR, до 1500 кг)</v>
      </c>
      <c r="V71" s="80" t="str">
        <f t="shared" si="0"/>
        <v>Ronavi H1500 (AMR, до 1500 кг)</v>
      </c>
      <c r="W71" s="80" t="str">
        <f t="shared" si="0"/>
        <v>Ronavi H1500 (AMR, до 1500 кг)</v>
      </c>
      <c r="X71" s="80" t="str">
        <f t="shared" si="0"/>
        <v>Ronavi H1500 (AMR, до 1500 кг)</v>
      </c>
      <c r="Y71" s="80" t="str">
        <f t="shared" si="0"/>
        <v>Ronavi H1500 (AMR, до 1500 кг)</v>
      </c>
    </row>
    <row r="72" spans="1:25" s="78" customFormat="1" x14ac:dyDescent="0.2">
      <c r="A72" s="79" t="s">
        <v>430</v>
      </c>
      <c r="B72" s="80" t="s">
        <v>431</v>
      </c>
      <c r="C72" s="80"/>
      <c r="D72" s="79" t="s">
        <v>432</v>
      </c>
      <c r="E72" s="80" t="str">
        <f t="shared" ref="E72:Y72" si="1">INDEX(Cat_status,MATCH(E$63,Cat_code,0))</f>
        <v>operation</v>
      </c>
      <c r="F72" s="80" t="str">
        <f t="shared" si="1"/>
        <v>piloting</v>
      </c>
      <c r="G72" s="80" t="str">
        <f t="shared" si="1"/>
        <v>piloting</v>
      </c>
      <c r="H72" s="80" t="str">
        <f t="shared" si="1"/>
        <v>piloting</v>
      </c>
      <c r="I72" s="80" t="str">
        <f t="shared" si="1"/>
        <v>piloting</v>
      </c>
      <c r="J72" s="80" t="str">
        <f t="shared" si="1"/>
        <v>piloting</v>
      </c>
      <c r="K72" s="80" t="str">
        <f t="shared" si="1"/>
        <v>piloting</v>
      </c>
      <c r="L72" s="80" t="str">
        <f t="shared" si="1"/>
        <v>piloting</v>
      </c>
      <c r="M72" s="80" t="str">
        <f t="shared" si="1"/>
        <v>piloting</v>
      </c>
      <c r="N72" s="80" t="str">
        <f t="shared" si="1"/>
        <v>piloting</v>
      </c>
      <c r="O72" s="80" t="str">
        <f t="shared" si="1"/>
        <v>piloting</v>
      </c>
      <c r="P72" s="80" t="str">
        <f t="shared" si="1"/>
        <v>piloting</v>
      </c>
      <c r="Q72" s="80" t="str">
        <f t="shared" si="1"/>
        <v>piloting</v>
      </c>
      <c r="R72" s="80" t="str">
        <f t="shared" si="1"/>
        <v>piloting</v>
      </c>
      <c r="S72" s="80" t="str">
        <f t="shared" si="1"/>
        <v>operation</v>
      </c>
      <c r="T72" s="80" t="str">
        <f t="shared" si="1"/>
        <v>operation</v>
      </c>
      <c r="U72" s="80" t="str">
        <f t="shared" si="1"/>
        <v>operation</v>
      </c>
      <c r="V72" s="80" t="str">
        <f t="shared" si="1"/>
        <v>operation</v>
      </c>
      <c r="W72" s="80" t="str">
        <f t="shared" si="1"/>
        <v>operation</v>
      </c>
      <c r="X72" s="80" t="str">
        <f t="shared" si="1"/>
        <v>operation</v>
      </c>
      <c r="Y72" s="80" t="str">
        <f t="shared" si="1"/>
        <v>operation</v>
      </c>
    </row>
    <row r="73" spans="1:25" s="78" customFormat="1" x14ac:dyDescent="0.2">
      <c r="A73" s="79" t="s">
        <v>433</v>
      </c>
      <c r="B73" s="80" t="s">
        <v>157</v>
      </c>
      <c r="C73" s="80"/>
      <c r="D73" s="79" t="s">
        <v>434</v>
      </c>
      <c r="E73" s="80" t="str">
        <f t="shared" ref="E73:Y73" si="2">INDEX(Cat_conf,MATCH(E$63,Cat_code,0))</f>
        <v>Да</v>
      </c>
      <c r="F73" s="80" t="str">
        <f t="shared" si="2"/>
        <v>Частично</v>
      </c>
      <c r="G73" s="80" t="str">
        <f t="shared" si="2"/>
        <v>Частично</v>
      </c>
      <c r="H73" s="80" t="str">
        <f t="shared" si="2"/>
        <v>Частично</v>
      </c>
      <c r="I73" s="80" t="str">
        <f t="shared" si="2"/>
        <v>Частично</v>
      </c>
      <c r="J73" s="80" t="str">
        <f t="shared" si="2"/>
        <v>Частично</v>
      </c>
      <c r="K73" s="80" t="str">
        <f t="shared" si="2"/>
        <v>Частично</v>
      </c>
      <c r="L73" s="80" t="str">
        <f t="shared" si="2"/>
        <v>Частично</v>
      </c>
      <c r="M73" s="80" t="str">
        <f t="shared" si="2"/>
        <v>Частично</v>
      </c>
      <c r="N73" s="80" t="str">
        <f t="shared" si="2"/>
        <v>Частично</v>
      </c>
      <c r="O73" s="80" t="str">
        <f t="shared" si="2"/>
        <v>Частично</v>
      </c>
      <c r="P73" s="80" t="str">
        <f t="shared" si="2"/>
        <v>Частично</v>
      </c>
      <c r="Q73" s="80" t="str">
        <f t="shared" si="2"/>
        <v>Частично</v>
      </c>
      <c r="R73" s="80" t="str">
        <f t="shared" si="2"/>
        <v>Частично</v>
      </c>
      <c r="S73" s="80" t="str">
        <f t="shared" si="2"/>
        <v>Да</v>
      </c>
      <c r="T73" s="80" t="str">
        <f t="shared" si="2"/>
        <v>Да</v>
      </c>
      <c r="U73" s="80" t="str">
        <f t="shared" si="2"/>
        <v>Да</v>
      </c>
      <c r="V73" s="80" t="str">
        <f t="shared" si="2"/>
        <v>Да</v>
      </c>
      <c r="W73" s="80" t="str">
        <f t="shared" si="2"/>
        <v>Да</v>
      </c>
      <c r="X73" s="80" t="str">
        <f t="shared" si="2"/>
        <v>Да</v>
      </c>
      <c r="Y73" s="80" t="str">
        <f t="shared" si="2"/>
        <v>Да</v>
      </c>
    </row>
    <row r="74" spans="1:25" s="89" customFormat="1" x14ac:dyDescent="0.2">
      <c r="A74" s="84" t="s">
        <v>435</v>
      </c>
      <c r="B74" s="85" t="s">
        <v>436</v>
      </c>
      <c r="C74" s="85" t="s">
        <v>51</v>
      </c>
      <c r="D74" s="84" t="s">
        <v>437</v>
      </c>
      <c r="E74" s="119">
        <f t="shared" ref="E74:Y74" si="3">INDEX(Cat_price,MATCH(E$63,Cat_code,0))</f>
        <v>2700000</v>
      </c>
      <c r="F74" s="88">
        <f t="shared" si="3"/>
        <v>4300000</v>
      </c>
      <c r="G74" s="88">
        <f t="shared" si="3"/>
        <v>4300000</v>
      </c>
      <c r="H74" s="88">
        <f t="shared" si="3"/>
        <v>4300000</v>
      </c>
      <c r="I74" s="88">
        <f t="shared" si="3"/>
        <v>4300000</v>
      </c>
      <c r="J74" s="88">
        <f t="shared" si="3"/>
        <v>4300000</v>
      </c>
      <c r="K74" s="88">
        <f t="shared" si="3"/>
        <v>4300000</v>
      </c>
      <c r="L74" s="88">
        <f t="shared" si="3"/>
        <v>4300000</v>
      </c>
      <c r="M74" s="88">
        <f t="shared" si="3"/>
        <v>4300000</v>
      </c>
      <c r="N74" s="88">
        <f t="shared" si="3"/>
        <v>4300000</v>
      </c>
      <c r="O74" s="88">
        <f t="shared" si="3"/>
        <v>4300000</v>
      </c>
      <c r="P74" s="88">
        <f t="shared" si="3"/>
        <v>4300000</v>
      </c>
      <c r="Q74" s="88">
        <f t="shared" si="3"/>
        <v>4300000</v>
      </c>
      <c r="R74" s="88">
        <f t="shared" si="3"/>
        <v>4300000</v>
      </c>
      <c r="S74" s="88">
        <f t="shared" si="3"/>
        <v>2700000</v>
      </c>
      <c r="T74" s="88">
        <f t="shared" si="3"/>
        <v>2700000</v>
      </c>
      <c r="U74" s="88">
        <f t="shared" si="3"/>
        <v>2700000</v>
      </c>
      <c r="V74" s="88">
        <f t="shared" si="3"/>
        <v>2700000</v>
      </c>
      <c r="W74" s="88">
        <f t="shared" si="3"/>
        <v>2700000</v>
      </c>
      <c r="X74" s="88">
        <f t="shared" si="3"/>
        <v>2700000</v>
      </c>
      <c r="Y74" s="88">
        <f t="shared" si="3"/>
        <v>2700000</v>
      </c>
    </row>
    <row r="75" spans="1:25" s="89" customFormat="1" x14ac:dyDescent="0.2">
      <c r="A75" s="84" t="s">
        <v>438</v>
      </c>
      <c r="B75" s="85" t="s">
        <v>439</v>
      </c>
      <c r="C75" s="85" t="s">
        <v>51</v>
      </c>
      <c r="D75" s="84" t="s">
        <v>440</v>
      </c>
      <c r="E75" s="88">
        <f t="shared" ref="E75:Y75" si="4">E74*E$65</f>
        <v>2700000</v>
      </c>
      <c r="F75" s="88">
        <f t="shared" si="4"/>
        <v>3440000</v>
      </c>
      <c r="G75" s="88">
        <f t="shared" si="4"/>
        <v>5160000</v>
      </c>
      <c r="H75" s="88">
        <f t="shared" si="4"/>
        <v>4300000</v>
      </c>
      <c r="I75" s="88">
        <f t="shared" si="4"/>
        <v>4300000</v>
      </c>
      <c r="J75" s="88">
        <f t="shared" si="4"/>
        <v>4300000</v>
      </c>
      <c r="K75" s="88">
        <f t="shared" si="4"/>
        <v>4300000</v>
      </c>
      <c r="L75" s="88">
        <f t="shared" si="4"/>
        <v>4300000</v>
      </c>
      <c r="M75" s="88">
        <f t="shared" si="4"/>
        <v>3440000</v>
      </c>
      <c r="N75" s="88">
        <f t="shared" si="4"/>
        <v>5160000</v>
      </c>
      <c r="O75" s="88">
        <f t="shared" si="4"/>
        <v>4300000</v>
      </c>
      <c r="P75" s="88">
        <f t="shared" si="4"/>
        <v>4300000</v>
      </c>
      <c r="Q75" s="88">
        <f t="shared" si="4"/>
        <v>4300000</v>
      </c>
      <c r="R75" s="88">
        <f t="shared" si="4"/>
        <v>4300000</v>
      </c>
      <c r="S75" s="88">
        <f t="shared" si="4"/>
        <v>2700000</v>
      </c>
      <c r="T75" s="88">
        <f t="shared" si="4"/>
        <v>2160000</v>
      </c>
      <c r="U75" s="88">
        <f t="shared" si="4"/>
        <v>3240000</v>
      </c>
      <c r="V75" s="88">
        <f t="shared" si="4"/>
        <v>2700000</v>
      </c>
      <c r="W75" s="88">
        <f t="shared" si="4"/>
        <v>2700000</v>
      </c>
      <c r="X75" s="88">
        <f t="shared" si="4"/>
        <v>2700000</v>
      </c>
      <c r="Y75" s="88">
        <f t="shared" si="4"/>
        <v>2700000</v>
      </c>
    </row>
    <row r="76" spans="1:25" s="89" customFormat="1" x14ac:dyDescent="0.2">
      <c r="A76" s="84" t="s">
        <v>441</v>
      </c>
      <c r="B76" s="85" t="s">
        <v>442</v>
      </c>
      <c r="C76" s="85" t="s">
        <v>295</v>
      </c>
      <c r="D76" s="84" t="s">
        <v>443</v>
      </c>
      <c r="E76" s="86">
        <f t="shared" ref="E76:Y76" si="5">INDEX(Cat_cap,MATCH(E$63,Cat_code,0))</f>
        <v>1500</v>
      </c>
      <c r="F76" s="86">
        <f t="shared" si="5"/>
        <v>1500</v>
      </c>
      <c r="G76" s="86">
        <f t="shared" si="5"/>
        <v>1500</v>
      </c>
      <c r="H76" s="86">
        <f t="shared" si="5"/>
        <v>1500</v>
      </c>
      <c r="I76" s="86">
        <f t="shared" si="5"/>
        <v>1500</v>
      </c>
      <c r="J76" s="86">
        <f t="shared" si="5"/>
        <v>1500</v>
      </c>
      <c r="K76" s="86">
        <f t="shared" si="5"/>
        <v>1500</v>
      </c>
      <c r="L76" s="86">
        <f t="shared" si="5"/>
        <v>1500</v>
      </c>
      <c r="M76" s="86">
        <f t="shared" si="5"/>
        <v>1500</v>
      </c>
      <c r="N76" s="86">
        <f t="shared" si="5"/>
        <v>1500</v>
      </c>
      <c r="O76" s="86">
        <f t="shared" si="5"/>
        <v>1500</v>
      </c>
      <c r="P76" s="86">
        <f t="shared" si="5"/>
        <v>1500</v>
      </c>
      <c r="Q76" s="86">
        <f t="shared" si="5"/>
        <v>1500</v>
      </c>
      <c r="R76" s="86">
        <f t="shared" si="5"/>
        <v>1500</v>
      </c>
      <c r="S76" s="86">
        <f t="shared" si="5"/>
        <v>1500</v>
      </c>
      <c r="T76" s="86">
        <f t="shared" si="5"/>
        <v>1500</v>
      </c>
      <c r="U76" s="86">
        <f t="shared" si="5"/>
        <v>1500</v>
      </c>
      <c r="V76" s="86">
        <f t="shared" si="5"/>
        <v>1500</v>
      </c>
      <c r="W76" s="86">
        <f t="shared" si="5"/>
        <v>1500</v>
      </c>
      <c r="X76" s="86">
        <f t="shared" si="5"/>
        <v>1500</v>
      </c>
      <c r="Y76" s="86">
        <f t="shared" si="5"/>
        <v>1500</v>
      </c>
    </row>
    <row r="77" spans="1:25" s="89" customFormat="1" x14ac:dyDescent="0.2">
      <c r="A77" s="84" t="s">
        <v>444</v>
      </c>
      <c r="B77" s="85" t="s">
        <v>445</v>
      </c>
      <c r="C77" s="85" t="s">
        <v>330</v>
      </c>
      <c r="D77" s="84" t="s">
        <v>446</v>
      </c>
      <c r="E77" s="87">
        <f t="shared" ref="E77:Y77" si="6">INDEX(Cat_vmax,MATCH(E$63,Cat_code,0))</f>
        <v>1.5</v>
      </c>
      <c r="F77" s="87">
        <f t="shared" si="6"/>
        <v>1.5</v>
      </c>
      <c r="G77" s="87">
        <f t="shared" si="6"/>
        <v>1.5</v>
      </c>
      <c r="H77" s="87">
        <f t="shared" si="6"/>
        <v>1.5</v>
      </c>
      <c r="I77" s="87">
        <f t="shared" si="6"/>
        <v>1.5</v>
      </c>
      <c r="J77" s="87">
        <f t="shared" si="6"/>
        <v>1.5</v>
      </c>
      <c r="K77" s="87">
        <f t="shared" si="6"/>
        <v>1.5</v>
      </c>
      <c r="L77" s="87">
        <f t="shared" si="6"/>
        <v>1.5</v>
      </c>
      <c r="M77" s="87">
        <f t="shared" si="6"/>
        <v>1.5</v>
      </c>
      <c r="N77" s="87">
        <f t="shared" si="6"/>
        <v>1.5</v>
      </c>
      <c r="O77" s="87">
        <f t="shared" si="6"/>
        <v>1.5</v>
      </c>
      <c r="P77" s="87">
        <f t="shared" si="6"/>
        <v>1.5</v>
      </c>
      <c r="Q77" s="87">
        <f t="shared" si="6"/>
        <v>1.5</v>
      </c>
      <c r="R77" s="87">
        <f t="shared" si="6"/>
        <v>1.5</v>
      </c>
      <c r="S77" s="87">
        <f t="shared" si="6"/>
        <v>1.5</v>
      </c>
      <c r="T77" s="87">
        <f t="shared" si="6"/>
        <v>1.5</v>
      </c>
      <c r="U77" s="87">
        <f t="shared" si="6"/>
        <v>1.5</v>
      </c>
      <c r="V77" s="87">
        <f t="shared" si="6"/>
        <v>1.5</v>
      </c>
      <c r="W77" s="87">
        <f t="shared" si="6"/>
        <v>1.5</v>
      </c>
      <c r="X77" s="87">
        <f t="shared" si="6"/>
        <v>1.5</v>
      </c>
      <c r="Y77" s="87">
        <f t="shared" si="6"/>
        <v>1.5</v>
      </c>
    </row>
    <row r="78" spans="1:25" s="78" customFormat="1" x14ac:dyDescent="0.2">
      <c r="A78" s="84" t="s">
        <v>447</v>
      </c>
      <c r="B78" s="85" t="s">
        <v>448</v>
      </c>
      <c r="C78" s="85" t="s">
        <v>337</v>
      </c>
      <c r="D78" s="84" t="s">
        <v>449</v>
      </c>
      <c r="E78" s="86">
        <f t="shared" ref="E78:Y78" si="7">INDEX(Cat_tload,MATCH(E$63,Cat_code,0))</f>
        <v>30</v>
      </c>
      <c r="F78" s="86">
        <f t="shared" si="7"/>
        <v>60</v>
      </c>
      <c r="G78" s="86">
        <f t="shared" si="7"/>
        <v>60</v>
      </c>
      <c r="H78" s="86">
        <f t="shared" si="7"/>
        <v>60</v>
      </c>
      <c r="I78" s="86">
        <f t="shared" si="7"/>
        <v>60</v>
      </c>
      <c r="J78" s="86">
        <f t="shared" si="7"/>
        <v>60</v>
      </c>
      <c r="K78" s="86">
        <f t="shared" si="7"/>
        <v>60</v>
      </c>
      <c r="L78" s="86">
        <f t="shared" si="7"/>
        <v>60</v>
      </c>
      <c r="M78" s="86">
        <f t="shared" si="7"/>
        <v>60</v>
      </c>
      <c r="N78" s="86">
        <f t="shared" si="7"/>
        <v>60</v>
      </c>
      <c r="O78" s="86">
        <f t="shared" si="7"/>
        <v>60</v>
      </c>
      <c r="P78" s="86">
        <f t="shared" si="7"/>
        <v>60</v>
      </c>
      <c r="Q78" s="86">
        <f t="shared" si="7"/>
        <v>60</v>
      </c>
      <c r="R78" s="86">
        <f t="shared" si="7"/>
        <v>60</v>
      </c>
      <c r="S78" s="86">
        <f t="shared" si="7"/>
        <v>30</v>
      </c>
      <c r="T78" s="86">
        <f t="shared" si="7"/>
        <v>30</v>
      </c>
      <c r="U78" s="86">
        <f t="shared" si="7"/>
        <v>30</v>
      </c>
      <c r="V78" s="86">
        <f t="shared" si="7"/>
        <v>30</v>
      </c>
      <c r="W78" s="86">
        <f t="shared" si="7"/>
        <v>30</v>
      </c>
      <c r="X78" s="86">
        <f t="shared" si="7"/>
        <v>30</v>
      </c>
      <c r="Y78" s="86">
        <f t="shared" si="7"/>
        <v>30</v>
      </c>
    </row>
    <row r="79" spans="1:25" s="78" customFormat="1" x14ac:dyDescent="0.2">
      <c r="A79" s="84" t="s">
        <v>450</v>
      </c>
      <c r="B79" s="85" t="s">
        <v>451</v>
      </c>
      <c r="C79" s="85" t="s">
        <v>337</v>
      </c>
      <c r="D79" s="84" t="s">
        <v>452</v>
      </c>
      <c r="E79" s="86">
        <f t="shared" ref="E79:Y79" si="8">INDEX(Cat_tunload,MATCH(E$63,Cat_code,0))</f>
        <v>30</v>
      </c>
      <c r="F79" s="86">
        <f t="shared" si="8"/>
        <v>60</v>
      </c>
      <c r="G79" s="86">
        <f t="shared" si="8"/>
        <v>60</v>
      </c>
      <c r="H79" s="86">
        <f t="shared" si="8"/>
        <v>60</v>
      </c>
      <c r="I79" s="86">
        <f t="shared" si="8"/>
        <v>60</v>
      </c>
      <c r="J79" s="86">
        <f t="shared" si="8"/>
        <v>60</v>
      </c>
      <c r="K79" s="86">
        <f t="shared" si="8"/>
        <v>60</v>
      </c>
      <c r="L79" s="86">
        <f t="shared" si="8"/>
        <v>60</v>
      </c>
      <c r="M79" s="86">
        <f t="shared" si="8"/>
        <v>60</v>
      </c>
      <c r="N79" s="86">
        <f t="shared" si="8"/>
        <v>60</v>
      </c>
      <c r="O79" s="86">
        <f t="shared" si="8"/>
        <v>60</v>
      </c>
      <c r="P79" s="86">
        <f t="shared" si="8"/>
        <v>60</v>
      </c>
      <c r="Q79" s="86">
        <f t="shared" si="8"/>
        <v>60</v>
      </c>
      <c r="R79" s="86">
        <f t="shared" si="8"/>
        <v>60</v>
      </c>
      <c r="S79" s="86">
        <f t="shared" si="8"/>
        <v>30</v>
      </c>
      <c r="T79" s="86">
        <f t="shared" si="8"/>
        <v>30</v>
      </c>
      <c r="U79" s="86">
        <f t="shared" si="8"/>
        <v>30</v>
      </c>
      <c r="V79" s="86">
        <f t="shared" si="8"/>
        <v>30</v>
      </c>
      <c r="W79" s="86">
        <f t="shared" si="8"/>
        <v>30</v>
      </c>
      <c r="X79" s="86">
        <f t="shared" si="8"/>
        <v>30</v>
      </c>
      <c r="Y79" s="86">
        <f t="shared" si="8"/>
        <v>30</v>
      </c>
    </row>
    <row r="80" spans="1:25" s="78" customFormat="1" x14ac:dyDescent="0.2">
      <c r="A80" s="84" t="s">
        <v>453</v>
      </c>
      <c r="B80" s="85" t="s">
        <v>454</v>
      </c>
      <c r="C80" s="85" t="s">
        <v>55</v>
      </c>
      <c r="D80" s="84" t="s">
        <v>455</v>
      </c>
      <c r="E80" s="87">
        <f t="shared" ref="E80:Y80" si="9">INDEX(Cat_power,MATCH(E$63,Cat_code,0))</f>
        <v>1</v>
      </c>
      <c r="F80" s="87">
        <f t="shared" si="9"/>
        <v>3</v>
      </c>
      <c r="G80" s="87">
        <f t="shared" si="9"/>
        <v>3</v>
      </c>
      <c r="H80" s="87">
        <f t="shared" si="9"/>
        <v>3</v>
      </c>
      <c r="I80" s="87">
        <f t="shared" si="9"/>
        <v>3</v>
      </c>
      <c r="J80" s="87">
        <f t="shared" si="9"/>
        <v>3</v>
      </c>
      <c r="K80" s="87">
        <f t="shared" si="9"/>
        <v>3</v>
      </c>
      <c r="L80" s="87">
        <f t="shared" si="9"/>
        <v>3</v>
      </c>
      <c r="M80" s="87">
        <f t="shared" si="9"/>
        <v>3</v>
      </c>
      <c r="N80" s="87">
        <f t="shared" si="9"/>
        <v>3</v>
      </c>
      <c r="O80" s="87">
        <f t="shared" si="9"/>
        <v>3</v>
      </c>
      <c r="P80" s="87">
        <f t="shared" si="9"/>
        <v>3</v>
      </c>
      <c r="Q80" s="87">
        <f t="shared" si="9"/>
        <v>3</v>
      </c>
      <c r="R80" s="87">
        <f t="shared" si="9"/>
        <v>3</v>
      </c>
      <c r="S80" s="87">
        <f t="shared" si="9"/>
        <v>1</v>
      </c>
      <c r="T80" s="87">
        <f t="shared" si="9"/>
        <v>1</v>
      </c>
      <c r="U80" s="87">
        <f t="shared" si="9"/>
        <v>1</v>
      </c>
      <c r="V80" s="87">
        <f t="shared" si="9"/>
        <v>1</v>
      </c>
      <c r="W80" s="87">
        <f t="shared" si="9"/>
        <v>1</v>
      </c>
      <c r="X80" s="87">
        <f t="shared" si="9"/>
        <v>1</v>
      </c>
      <c r="Y80" s="87">
        <f t="shared" si="9"/>
        <v>1</v>
      </c>
    </row>
    <row r="81" spans="1:25" s="78" customFormat="1" x14ac:dyDescent="0.2">
      <c r="A81" s="79" t="s">
        <v>456</v>
      </c>
      <c r="B81" s="80" t="s">
        <v>153</v>
      </c>
      <c r="C81" s="80"/>
      <c r="D81" s="79" t="s">
        <v>457</v>
      </c>
      <c r="E81" s="80" t="str">
        <f t="shared" ref="E81:Y81" si="10">INDEX(Cat_handling,MATCH(E$63,Cat_code,0))</f>
        <v>платформа</v>
      </c>
      <c r="F81" s="80" t="str">
        <f t="shared" si="10"/>
        <v>вилы</v>
      </c>
      <c r="G81" s="80" t="str">
        <f t="shared" si="10"/>
        <v>вилы</v>
      </c>
      <c r="H81" s="80" t="str">
        <f t="shared" si="10"/>
        <v>вилы</v>
      </c>
      <c r="I81" s="80" t="str">
        <f t="shared" si="10"/>
        <v>вилы</v>
      </c>
      <c r="J81" s="80" t="str">
        <f t="shared" si="10"/>
        <v>вилы</v>
      </c>
      <c r="K81" s="80" t="str">
        <f t="shared" si="10"/>
        <v>вилы</v>
      </c>
      <c r="L81" s="80" t="str">
        <f t="shared" si="10"/>
        <v>вилы</v>
      </c>
      <c r="M81" s="80" t="str">
        <f t="shared" si="10"/>
        <v>вилы</v>
      </c>
      <c r="N81" s="80" t="str">
        <f t="shared" si="10"/>
        <v>вилы</v>
      </c>
      <c r="O81" s="80" t="str">
        <f t="shared" si="10"/>
        <v>вилы</v>
      </c>
      <c r="P81" s="80" t="str">
        <f t="shared" si="10"/>
        <v>вилы</v>
      </c>
      <c r="Q81" s="80" t="str">
        <f t="shared" si="10"/>
        <v>вилы</v>
      </c>
      <c r="R81" s="80" t="str">
        <f t="shared" si="10"/>
        <v>вилы</v>
      </c>
      <c r="S81" s="80" t="str">
        <f t="shared" si="10"/>
        <v>платформа</v>
      </c>
      <c r="T81" s="80" t="str">
        <f t="shared" si="10"/>
        <v>платформа</v>
      </c>
      <c r="U81" s="80" t="str">
        <f t="shared" si="10"/>
        <v>платформа</v>
      </c>
      <c r="V81" s="80" t="str">
        <f t="shared" si="10"/>
        <v>платформа</v>
      </c>
      <c r="W81" s="80" t="str">
        <f t="shared" si="10"/>
        <v>платформа</v>
      </c>
      <c r="X81" s="80" t="str">
        <f t="shared" si="10"/>
        <v>платформа</v>
      </c>
      <c r="Y81" s="80" t="str">
        <f t="shared" si="10"/>
        <v>платформа</v>
      </c>
    </row>
    <row r="82" spans="1:25" s="78" customFormat="1" x14ac:dyDescent="0.2">
      <c r="A82" s="79" t="s">
        <v>458</v>
      </c>
      <c r="B82" s="80" t="s">
        <v>459</v>
      </c>
      <c r="C82" s="80" t="s">
        <v>323</v>
      </c>
      <c r="D82" s="79" t="s">
        <v>460</v>
      </c>
      <c r="E82" s="83">
        <f t="shared" ref="E82:Y82" si="11">INDEX(Cat_indoor,MATCH(E$63,Cat_code,0))</f>
        <v>1</v>
      </c>
      <c r="F82" s="83">
        <f t="shared" si="11"/>
        <v>1</v>
      </c>
      <c r="G82" s="83">
        <f t="shared" si="11"/>
        <v>1</v>
      </c>
      <c r="H82" s="83">
        <f t="shared" si="11"/>
        <v>1</v>
      </c>
      <c r="I82" s="83">
        <f t="shared" si="11"/>
        <v>1</v>
      </c>
      <c r="J82" s="83">
        <f t="shared" si="11"/>
        <v>1</v>
      </c>
      <c r="K82" s="83">
        <f t="shared" si="11"/>
        <v>1</v>
      </c>
      <c r="L82" s="83">
        <f t="shared" si="11"/>
        <v>1</v>
      </c>
      <c r="M82" s="83">
        <f t="shared" si="11"/>
        <v>1</v>
      </c>
      <c r="N82" s="83">
        <f t="shared" si="11"/>
        <v>1</v>
      </c>
      <c r="O82" s="83">
        <f t="shared" si="11"/>
        <v>1</v>
      </c>
      <c r="P82" s="83">
        <f t="shared" si="11"/>
        <v>1</v>
      </c>
      <c r="Q82" s="83">
        <f t="shared" si="11"/>
        <v>1</v>
      </c>
      <c r="R82" s="83">
        <f t="shared" si="11"/>
        <v>1</v>
      </c>
      <c r="S82" s="83">
        <f t="shared" si="11"/>
        <v>1</v>
      </c>
      <c r="T82" s="83">
        <f t="shared" si="11"/>
        <v>1</v>
      </c>
      <c r="U82" s="83">
        <f t="shared" si="11"/>
        <v>1</v>
      </c>
      <c r="V82" s="83">
        <f t="shared" si="11"/>
        <v>1</v>
      </c>
      <c r="W82" s="83">
        <f t="shared" si="11"/>
        <v>1</v>
      </c>
      <c r="X82" s="83">
        <f t="shared" si="11"/>
        <v>1</v>
      </c>
      <c r="Y82" s="83">
        <f t="shared" si="11"/>
        <v>1</v>
      </c>
    </row>
    <row r="83" spans="1:25" s="78" customFormat="1" x14ac:dyDescent="0.2">
      <c r="A83" s="79" t="s">
        <v>461</v>
      </c>
      <c r="B83" s="80" t="s">
        <v>462</v>
      </c>
      <c r="C83" s="80"/>
      <c r="D83" s="79" t="s">
        <v>463</v>
      </c>
      <c r="E83" s="80" t="str">
        <f t="shared" ref="E83:Y83" si="12">INDEX(Cat_task,MATCH(E$63,Cat_code,0))</f>
        <v>транспорт</v>
      </c>
      <c r="F83" s="80" t="str">
        <f t="shared" si="12"/>
        <v>транспорт</v>
      </c>
      <c r="G83" s="80" t="str">
        <f t="shared" si="12"/>
        <v>транспорт</v>
      </c>
      <c r="H83" s="80" t="str">
        <f t="shared" si="12"/>
        <v>транспорт</v>
      </c>
      <c r="I83" s="80" t="str">
        <f t="shared" si="12"/>
        <v>транспорт</v>
      </c>
      <c r="J83" s="80" t="str">
        <f t="shared" si="12"/>
        <v>транспорт</v>
      </c>
      <c r="K83" s="80" t="str">
        <f t="shared" si="12"/>
        <v>транспорт</v>
      </c>
      <c r="L83" s="80" t="str">
        <f t="shared" si="12"/>
        <v>транспорт</v>
      </c>
      <c r="M83" s="80" t="str">
        <f t="shared" si="12"/>
        <v>транспорт</v>
      </c>
      <c r="N83" s="80" t="str">
        <f t="shared" si="12"/>
        <v>транспорт</v>
      </c>
      <c r="O83" s="80" t="str">
        <f t="shared" si="12"/>
        <v>транспорт</v>
      </c>
      <c r="P83" s="80" t="str">
        <f t="shared" si="12"/>
        <v>транспорт</v>
      </c>
      <c r="Q83" s="80" t="str">
        <f t="shared" si="12"/>
        <v>транспорт</v>
      </c>
      <c r="R83" s="80" t="str">
        <f t="shared" si="12"/>
        <v>транспорт</v>
      </c>
      <c r="S83" s="80" t="str">
        <f t="shared" si="12"/>
        <v>транспорт</v>
      </c>
      <c r="T83" s="80" t="str">
        <f t="shared" si="12"/>
        <v>транспорт</v>
      </c>
      <c r="U83" s="80" t="str">
        <f t="shared" si="12"/>
        <v>транспорт</v>
      </c>
      <c r="V83" s="80" t="str">
        <f t="shared" si="12"/>
        <v>транспорт</v>
      </c>
      <c r="W83" s="80" t="str">
        <f t="shared" si="12"/>
        <v>транспорт</v>
      </c>
      <c r="X83" s="80" t="str">
        <f t="shared" si="12"/>
        <v>транспорт</v>
      </c>
      <c r="Y83" s="80" t="str">
        <f t="shared" si="12"/>
        <v>транспорт</v>
      </c>
    </row>
    <row r="84" spans="1:25" s="125" customFormat="1" ht="39" x14ac:dyDescent="0.2">
      <c r="A84" s="122" t="s">
        <v>464</v>
      </c>
      <c r="B84" s="123" t="s">
        <v>465</v>
      </c>
      <c r="C84" s="123" t="s">
        <v>33</v>
      </c>
      <c r="D84" s="122" t="s">
        <v>466</v>
      </c>
      <c r="E84" s="124">
        <f>IF(F81="вилы",Skl_repl_forks,IF(F81="платформа",Skl_repl_platform,IF(F81="буксировка",Skl_repl_tow,IF(F81="кузов",Skl_repl_body,0))))</f>
        <v>0.5</v>
      </c>
      <c r="F84" s="124">
        <f>IF(F81="вилы",Skl_repl_forks,IF(F81="платформа",Skl_repl_platform,IF(F81="буксировка",Skl_repl_tow,IF(F81="кузов",Skl_repl_body,0))))</f>
        <v>0.5</v>
      </c>
      <c r="G84" s="124">
        <f t="shared" ref="E84:Y84" si="13">IF(G81="вилы",Skl_repl_forks,IF(G81="платформа",Skl_repl_platform,IF(G81="буксировка",Skl_repl_tow,IF(G81="кузов",Skl_repl_body,0))))</f>
        <v>0.5</v>
      </c>
      <c r="H84" s="124">
        <f t="shared" si="13"/>
        <v>0.5</v>
      </c>
      <c r="I84" s="124">
        <f t="shared" si="13"/>
        <v>0.5</v>
      </c>
      <c r="J84" s="124">
        <f t="shared" si="13"/>
        <v>0.5</v>
      </c>
      <c r="K84" s="124">
        <f t="shared" si="13"/>
        <v>0.5</v>
      </c>
      <c r="L84" s="124">
        <f t="shared" si="13"/>
        <v>0.5</v>
      </c>
      <c r="M84" s="124">
        <f t="shared" si="13"/>
        <v>0.5</v>
      </c>
      <c r="N84" s="124">
        <f t="shared" si="13"/>
        <v>0.5</v>
      </c>
      <c r="O84" s="124">
        <f t="shared" si="13"/>
        <v>0.5</v>
      </c>
      <c r="P84" s="124">
        <f t="shared" si="13"/>
        <v>0.5</v>
      </c>
      <c r="Q84" s="124">
        <f t="shared" si="13"/>
        <v>0.5</v>
      </c>
      <c r="R84" s="124">
        <f t="shared" si="13"/>
        <v>0.5</v>
      </c>
      <c r="S84" s="124">
        <f t="shared" si="13"/>
        <v>0</v>
      </c>
      <c r="T84" s="124">
        <f t="shared" si="13"/>
        <v>0</v>
      </c>
      <c r="U84" s="124">
        <f t="shared" si="13"/>
        <v>0</v>
      </c>
      <c r="V84" s="124">
        <f t="shared" si="13"/>
        <v>0</v>
      </c>
      <c r="W84" s="124">
        <f t="shared" si="13"/>
        <v>0</v>
      </c>
      <c r="X84" s="124">
        <f t="shared" si="13"/>
        <v>0</v>
      </c>
      <c r="Y84" s="124">
        <f t="shared" si="13"/>
        <v>0</v>
      </c>
    </row>
    <row r="85" spans="1:25" s="78" customFormat="1" x14ac:dyDescent="0.2">
      <c r="A85" s="79" t="s">
        <v>467</v>
      </c>
      <c r="B85" s="80" t="s">
        <v>468</v>
      </c>
      <c r="C85" s="80" t="s">
        <v>469</v>
      </c>
      <c r="D85" s="79" t="s">
        <v>470</v>
      </c>
      <c r="E85" s="83">
        <f t="shared" ref="E85:Y85" si="14">INDEX(Cat_wid,MATCH(E$63,Cat_code,0))</f>
        <v>654</v>
      </c>
      <c r="F85" s="83">
        <f t="shared" si="14"/>
        <v>1000</v>
      </c>
      <c r="G85" s="83">
        <f t="shared" si="14"/>
        <v>1000</v>
      </c>
      <c r="H85" s="83">
        <f t="shared" si="14"/>
        <v>1000</v>
      </c>
      <c r="I85" s="83">
        <f t="shared" si="14"/>
        <v>1000</v>
      </c>
      <c r="J85" s="83">
        <f t="shared" si="14"/>
        <v>1000</v>
      </c>
      <c r="K85" s="83">
        <f t="shared" si="14"/>
        <v>1000</v>
      </c>
      <c r="L85" s="83">
        <f t="shared" si="14"/>
        <v>1000</v>
      </c>
      <c r="M85" s="83">
        <f t="shared" si="14"/>
        <v>1000</v>
      </c>
      <c r="N85" s="83">
        <f t="shared" si="14"/>
        <v>1000</v>
      </c>
      <c r="O85" s="83">
        <f t="shared" si="14"/>
        <v>1000</v>
      </c>
      <c r="P85" s="83">
        <f t="shared" si="14"/>
        <v>1000</v>
      </c>
      <c r="Q85" s="83">
        <f t="shared" si="14"/>
        <v>1000</v>
      </c>
      <c r="R85" s="83">
        <f t="shared" si="14"/>
        <v>1000</v>
      </c>
      <c r="S85" s="83">
        <f t="shared" si="14"/>
        <v>654</v>
      </c>
      <c r="T85" s="83">
        <f t="shared" si="14"/>
        <v>654</v>
      </c>
      <c r="U85" s="83">
        <f t="shared" si="14"/>
        <v>654</v>
      </c>
      <c r="V85" s="83">
        <f t="shared" si="14"/>
        <v>654</v>
      </c>
      <c r="W85" s="83">
        <f t="shared" si="14"/>
        <v>654</v>
      </c>
      <c r="X85" s="83">
        <f t="shared" si="14"/>
        <v>654</v>
      </c>
      <c r="Y85" s="83">
        <f t="shared" si="14"/>
        <v>654</v>
      </c>
    </row>
    <row r="86" spans="1:25" s="78" customFormat="1" x14ac:dyDescent="0.2">
      <c r="A86" s="79" t="s">
        <v>471</v>
      </c>
      <c r="B86" s="80" t="s">
        <v>472</v>
      </c>
      <c r="C86" s="80" t="s">
        <v>370</v>
      </c>
      <c r="D86" s="79" t="s">
        <v>473</v>
      </c>
      <c r="E86" s="83">
        <f t="shared" ref="E86:Y86" si="15">INDEX(Cat_tmin,MATCH(E$63,Cat_code,0))</f>
        <v>5</v>
      </c>
      <c r="F86" s="83">
        <f t="shared" si="15"/>
        <v>5</v>
      </c>
      <c r="G86" s="83">
        <f t="shared" si="15"/>
        <v>5</v>
      </c>
      <c r="H86" s="83">
        <f t="shared" si="15"/>
        <v>5</v>
      </c>
      <c r="I86" s="83">
        <f t="shared" si="15"/>
        <v>5</v>
      </c>
      <c r="J86" s="83">
        <f t="shared" si="15"/>
        <v>5</v>
      </c>
      <c r="K86" s="83">
        <f t="shared" si="15"/>
        <v>5</v>
      </c>
      <c r="L86" s="83">
        <f t="shared" si="15"/>
        <v>5</v>
      </c>
      <c r="M86" s="83">
        <f t="shared" si="15"/>
        <v>5</v>
      </c>
      <c r="N86" s="83">
        <f t="shared" si="15"/>
        <v>5</v>
      </c>
      <c r="O86" s="83">
        <f t="shared" si="15"/>
        <v>5</v>
      </c>
      <c r="P86" s="83">
        <f t="shared" si="15"/>
        <v>5</v>
      </c>
      <c r="Q86" s="83">
        <f t="shared" si="15"/>
        <v>5</v>
      </c>
      <c r="R86" s="83">
        <f t="shared" si="15"/>
        <v>5</v>
      </c>
      <c r="S86" s="83">
        <f t="shared" si="15"/>
        <v>5</v>
      </c>
      <c r="T86" s="83">
        <f t="shared" si="15"/>
        <v>5</v>
      </c>
      <c r="U86" s="83">
        <f t="shared" si="15"/>
        <v>5</v>
      </c>
      <c r="V86" s="83">
        <f t="shared" si="15"/>
        <v>5</v>
      </c>
      <c r="W86" s="83">
        <f t="shared" si="15"/>
        <v>5</v>
      </c>
      <c r="X86" s="83">
        <f t="shared" si="15"/>
        <v>5</v>
      </c>
      <c r="Y86" s="83">
        <f t="shared" si="15"/>
        <v>5</v>
      </c>
    </row>
    <row r="87" spans="1:25" s="78" customFormat="1" x14ac:dyDescent="0.2">
      <c r="A87" s="79" t="s">
        <v>474</v>
      </c>
      <c r="B87" s="80" t="s">
        <v>475</v>
      </c>
      <c r="C87" s="80" t="s">
        <v>323</v>
      </c>
      <c r="D87" s="79" t="s">
        <v>476</v>
      </c>
      <c r="E87" s="83">
        <f t="shared" ref="E87:Y87" si="16">INDEX(Cat_outdoor,MATCH(E$63,Cat_code,0))</f>
        <v>0</v>
      </c>
      <c r="F87" s="83">
        <f t="shared" si="16"/>
        <v>0</v>
      </c>
      <c r="G87" s="83">
        <f t="shared" si="16"/>
        <v>0</v>
      </c>
      <c r="H87" s="83">
        <f t="shared" si="16"/>
        <v>0</v>
      </c>
      <c r="I87" s="83">
        <f t="shared" si="16"/>
        <v>0</v>
      </c>
      <c r="J87" s="83">
        <f t="shared" si="16"/>
        <v>0</v>
      </c>
      <c r="K87" s="83">
        <f t="shared" si="16"/>
        <v>0</v>
      </c>
      <c r="L87" s="83">
        <f t="shared" si="16"/>
        <v>0</v>
      </c>
      <c r="M87" s="83">
        <f t="shared" si="16"/>
        <v>0</v>
      </c>
      <c r="N87" s="83">
        <f t="shared" si="16"/>
        <v>0</v>
      </c>
      <c r="O87" s="83">
        <f t="shared" si="16"/>
        <v>0</v>
      </c>
      <c r="P87" s="83">
        <f t="shared" si="16"/>
        <v>0</v>
      </c>
      <c r="Q87" s="83">
        <f t="shared" si="16"/>
        <v>0</v>
      </c>
      <c r="R87" s="83">
        <f t="shared" si="16"/>
        <v>0</v>
      </c>
      <c r="S87" s="83">
        <f t="shared" si="16"/>
        <v>0</v>
      </c>
      <c r="T87" s="83">
        <f t="shared" si="16"/>
        <v>0</v>
      </c>
      <c r="U87" s="83">
        <f t="shared" si="16"/>
        <v>0</v>
      </c>
      <c r="V87" s="83">
        <f t="shared" si="16"/>
        <v>0</v>
      </c>
      <c r="W87" s="83">
        <f t="shared" si="16"/>
        <v>0</v>
      </c>
      <c r="X87" s="83">
        <f t="shared" si="16"/>
        <v>0</v>
      </c>
      <c r="Y87" s="83">
        <f t="shared" si="16"/>
        <v>0</v>
      </c>
    </row>
    <row r="88" spans="1:25" s="78" customFormat="1" x14ac:dyDescent="0.2">
      <c r="A88" s="76"/>
      <c r="B88" s="77" t="s">
        <v>477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spans="1:25" s="78" customFormat="1" ht="28" x14ac:dyDescent="0.2">
      <c r="A89" s="79" t="s">
        <v>478</v>
      </c>
      <c r="B89" s="80" t="s">
        <v>479</v>
      </c>
      <c r="C89" s="80"/>
      <c r="D89" s="79" t="s">
        <v>480</v>
      </c>
      <c r="E89" s="80" t="str">
        <f t="shared" ref="E89:Y89" si="17">IF(E83=Skl_task_class,"ОК","НЕТ")</f>
        <v>ОК</v>
      </c>
      <c r="F89" s="80" t="str">
        <f t="shared" si="17"/>
        <v>ОК</v>
      </c>
      <c r="G89" s="80" t="str">
        <f t="shared" si="17"/>
        <v>ОК</v>
      </c>
      <c r="H89" s="80" t="str">
        <f t="shared" si="17"/>
        <v>ОК</v>
      </c>
      <c r="I89" s="80" t="str">
        <f t="shared" si="17"/>
        <v>ОК</v>
      </c>
      <c r="J89" s="80" t="str">
        <f t="shared" si="17"/>
        <v>ОК</v>
      </c>
      <c r="K89" s="80" t="str">
        <f t="shared" si="17"/>
        <v>ОК</v>
      </c>
      <c r="L89" s="80" t="str">
        <f t="shared" si="17"/>
        <v>ОК</v>
      </c>
      <c r="M89" s="80" t="str">
        <f t="shared" si="17"/>
        <v>ОК</v>
      </c>
      <c r="N89" s="80" t="str">
        <f t="shared" si="17"/>
        <v>ОК</v>
      </c>
      <c r="O89" s="80" t="str">
        <f t="shared" si="17"/>
        <v>ОК</v>
      </c>
      <c r="P89" s="80" t="str">
        <f t="shared" si="17"/>
        <v>ОК</v>
      </c>
      <c r="Q89" s="80" t="str">
        <f t="shared" si="17"/>
        <v>ОК</v>
      </c>
      <c r="R89" s="80" t="str">
        <f t="shared" si="17"/>
        <v>ОК</v>
      </c>
      <c r="S89" s="80" t="str">
        <f t="shared" si="17"/>
        <v>ОК</v>
      </c>
      <c r="T89" s="80" t="str">
        <f t="shared" si="17"/>
        <v>ОК</v>
      </c>
      <c r="U89" s="80" t="str">
        <f t="shared" si="17"/>
        <v>ОК</v>
      </c>
      <c r="V89" s="80" t="str">
        <f t="shared" si="17"/>
        <v>ОК</v>
      </c>
      <c r="W89" s="80" t="str">
        <f t="shared" si="17"/>
        <v>ОК</v>
      </c>
      <c r="X89" s="80" t="str">
        <f t="shared" si="17"/>
        <v>ОК</v>
      </c>
      <c r="Y89" s="80" t="str">
        <f t="shared" si="17"/>
        <v>ОК</v>
      </c>
    </row>
    <row r="90" spans="1:25" s="78" customFormat="1" ht="28" x14ac:dyDescent="0.2">
      <c r="A90" s="79" t="s">
        <v>481</v>
      </c>
      <c r="B90" s="80" t="s">
        <v>482</v>
      </c>
      <c r="C90" s="80"/>
      <c r="D90" s="79" t="s">
        <v>483</v>
      </c>
      <c r="E90" s="80" t="str">
        <f t="shared" ref="E90:Y90" si="18">IF(ISNUMBER(SEARCH(E81,Skl_handling_req)),"ОК","НЕТ")</f>
        <v>ОК</v>
      </c>
      <c r="F90" s="80" t="str">
        <f t="shared" si="18"/>
        <v>ОК</v>
      </c>
      <c r="G90" s="80" t="str">
        <f t="shared" si="18"/>
        <v>ОК</v>
      </c>
      <c r="H90" s="80" t="str">
        <f t="shared" si="18"/>
        <v>ОК</v>
      </c>
      <c r="I90" s="80" t="str">
        <f t="shared" si="18"/>
        <v>ОК</v>
      </c>
      <c r="J90" s="80" t="str">
        <f t="shared" si="18"/>
        <v>ОК</v>
      </c>
      <c r="K90" s="80" t="str">
        <f t="shared" si="18"/>
        <v>ОК</v>
      </c>
      <c r="L90" s="80" t="str">
        <f t="shared" si="18"/>
        <v>ОК</v>
      </c>
      <c r="M90" s="80" t="str">
        <f t="shared" si="18"/>
        <v>ОК</v>
      </c>
      <c r="N90" s="80" t="str">
        <f t="shared" si="18"/>
        <v>ОК</v>
      </c>
      <c r="O90" s="80" t="str">
        <f t="shared" si="18"/>
        <v>ОК</v>
      </c>
      <c r="P90" s="80" t="str">
        <f t="shared" si="18"/>
        <v>ОК</v>
      </c>
      <c r="Q90" s="80" t="str">
        <f t="shared" si="18"/>
        <v>ОК</v>
      </c>
      <c r="R90" s="80" t="str">
        <f t="shared" si="18"/>
        <v>ОК</v>
      </c>
      <c r="S90" s="80" t="str">
        <f t="shared" si="18"/>
        <v>ОК</v>
      </c>
      <c r="T90" s="80" t="str">
        <f t="shared" si="18"/>
        <v>ОК</v>
      </c>
      <c r="U90" s="80" t="str">
        <f t="shared" si="18"/>
        <v>ОК</v>
      </c>
      <c r="V90" s="80" t="str">
        <f t="shared" si="18"/>
        <v>ОК</v>
      </c>
      <c r="W90" s="80" t="str">
        <f t="shared" si="18"/>
        <v>ОК</v>
      </c>
      <c r="X90" s="80" t="str">
        <f t="shared" si="18"/>
        <v>ОК</v>
      </c>
      <c r="Y90" s="80" t="str">
        <f t="shared" si="18"/>
        <v>ОК</v>
      </c>
    </row>
    <row r="91" spans="1:25" s="78" customFormat="1" x14ac:dyDescent="0.2">
      <c r="A91" s="79" t="s">
        <v>484</v>
      </c>
      <c r="B91" s="80" t="s">
        <v>485</v>
      </c>
      <c r="C91" s="80"/>
      <c r="D91" s="79" t="s">
        <v>486</v>
      </c>
      <c r="E91" s="80" t="str">
        <f t="shared" ref="E91:Y91" si="19">IF(AND(Skl_indoor_req=1,E82=0),"НЕТ","ОК")</f>
        <v>ОК</v>
      </c>
      <c r="F91" s="80" t="str">
        <f t="shared" si="19"/>
        <v>ОК</v>
      </c>
      <c r="G91" s="80" t="str">
        <f t="shared" si="19"/>
        <v>ОК</v>
      </c>
      <c r="H91" s="80" t="str">
        <f t="shared" si="19"/>
        <v>ОК</v>
      </c>
      <c r="I91" s="80" t="str">
        <f t="shared" si="19"/>
        <v>ОК</v>
      </c>
      <c r="J91" s="80" t="str">
        <f t="shared" si="19"/>
        <v>ОК</v>
      </c>
      <c r="K91" s="80" t="str">
        <f t="shared" si="19"/>
        <v>ОК</v>
      </c>
      <c r="L91" s="80" t="str">
        <f t="shared" si="19"/>
        <v>ОК</v>
      </c>
      <c r="M91" s="80" t="str">
        <f t="shared" si="19"/>
        <v>ОК</v>
      </c>
      <c r="N91" s="80" t="str">
        <f t="shared" si="19"/>
        <v>ОК</v>
      </c>
      <c r="O91" s="80" t="str">
        <f t="shared" si="19"/>
        <v>ОК</v>
      </c>
      <c r="P91" s="80" t="str">
        <f t="shared" si="19"/>
        <v>ОК</v>
      </c>
      <c r="Q91" s="80" t="str">
        <f t="shared" si="19"/>
        <v>ОК</v>
      </c>
      <c r="R91" s="80" t="str">
        <f t="shared" si="19"/>
        <v>ОК</v>
      </c>
      <c r="S91" s="80" t="str">
        <f t="shared" si="19"/>
        <v>ОК</v>
      </c>
      <c r="T91" s="80" t="str">
        <f t="shared" si="19"/>
        <v>ОК</v>
      </c>
      <c r="U91" s="80" t="str">
        <f t="shared" si="19"/>
        <v>ОК</v>
      </c>
      <c r="V91" s="80" t="str">
        <f t="shared" si="19"/>
        <v>ОК</v>
      </c>
      <c r="W91" s="80" t="str">
        <f t="shared" si="19"/>
        <v>ОК</v>
      </c>
      <c r="X91" s="80" t="str">
        <f t="shared" si="19"/>
        <v>ОК</v>
      </c>
      <c r="Y91" s="80" t="str">
        <f t="shared" si="19"/>
        <v>ОК</v>
      </c>
    </row>
    <row r="92" spans="1:25" s="78" customFormat="1" ht="28" x14ac:dyDescent="0.2">
      <c r="A92" s="79" t="s">
        <v>487</v>
      </c>
      <c r="B92" s="80" t="s">
        <v>488</v>
      </c>
      <c r="C92" s="80"/>
      <c r="D92" s="79" t="s">
        <v>489</v>
      </c>
      <c r="E92" s="80" t="str">
        <f t="shared" ref="E92:Y92" si="20">IF(AND(Skl_divisible=0,E76&lt;Skl_unit_mass),"НЕТ","ОК")</f>
        <v>ОК</v>
      </c>
      <c r="F92" s="80" t="str">
        <f t="shared" si="20"/>
        <v>ОК</v>
      </c>
      <c r="G92" s="80" t="str">
        <f t="shared" si="20"/>
        <v>ОК</v>
      </c>
      <c r="H92" s="80" t="str">
        <f t="shared" si="20"/>
        <v>ОК</v>
      </c>
      <c r="I92" s="80" t="str">
        <f t="shared" si="20"/>
        <v>ОК</v>
      </c>
      <c r="J92" s="80" t="str">
        <f t="shared" si="20"/>
        <v>ОК</v>
      </c>
      <c r="K92" s="80" t="str">
        <f t="shared" si="20"/>
        <v>ОК</v>
      </c>
      <c r="L92" s="80" t="str">
        <f t="shared" si="20"/>
        <v>ОК</v>
      </c>
      <c r="M92" s="80" t="str">
        <f t="shared" si="20"/>
        <v>ОК</v>
      </c>
      <c r="N92" s="80" t="str">
        <f t="shared" si="20"/>
        <v>ОК</v>
      </c>
      <c r="O92" s="80" t="str">
        <f t="shared" si="20"/>
        <v>ОК</v>
      </c>
      <c r="P92" s="80" t="str">
        <f t="shared" si="20"/>
        <v>ОК</v>
      </c>
      <c r="Q92" s="80" t="str">
        <f t="shared" si="20"/>
        <v>ОК</v>
      </c>
      <c r="R92" s="80" t="str">
        <f t="shared" si="20"/>
        <v>ОК</v>
      </c>
      <c r="S92" s="80" t="str">
        <f t="shared" si="20"/>
        <v>ОК</v>
      </c>
      <c r="T92" s="80" t="str">
        <f t="shared" si="20"/>
        <v>ОК</v>
      </c>
      <c r="U92" s="80" t="str">
        <f t="shared" si="20"/>
        <v>ОК</v>
      </c>
      <c r="V92" s="80" t="str">
        <f t="shared" si="20"/>
        <v>ОК</v>
      </c>
      <c r="W92" s="80" t="str">
        <f t="shared" si="20"/>
        <v>ОК</v>
      </c>
      <c r="X92" s="80" t="str">
        <f t="shared" si="20"/>
        <v>ОК</v>
      </c>
      <c r="Y92" s="80" t="str">
        <f t="shared" si="20"/>
        <v>ОК</v>
      </c>
    </row>
    <row r="93" spans="1:25" s="78" customFormat="1" ht="28" x14ac:dyDescent="0.2">
      <c r="A93" s="79" t="s">
        <v>490</v>
      </c>
      <c r="B93" s="80" t="s">
        <v>491</v>
      </c>
      <c r="C93" s="80"/>
      <c r="D93" s="79" t="s">
        <v>492</v>
      </c>
      <c r="E93" s="80" t="str">
        <f t="shared" ref="E93:Y93" si="21">IF(E85/1000+Skl_clearance&lt;=Skl_aisle,"ОК","НЕТ")</f>
        <v>ОК</v>
      </c>
      <c r="F93" s="80" t="str">
        <f t="shared" si="21"/>
        <v>ОК</v>
      </c>
      <c r="G93" s="80" t="str">
        <f t="shared" si="21"/>
        <v>ОК</v>
      </c>
      <c r="H93" s="80" t="str">
        <f t="shared" si="21"/>
        <v>ОК</v>
      </c>
      <c r="I93" s="80" t="str">
        <f t="shared" si="21"/>
        <v>ОК</v>
      </c>
      <c r="J93" s="80" t="str">
        <f t="shared" si="21"/>
        <v>ОК</v>
      </c>
      <c r="K93" s="80" t="str">
        <f t="shared" si="21"/>
        <v>ОК</v>
      </c>
      <c r="L93" s="80" t="str">
        <f t="shared" si="21"/>
        <v>ОК</v>
      </c>
      <c r="M93" s="80" t="str">
        <f t="shared" si="21"/>
        <v>ОК</v>
      </c>
      <c r="N93" s="80" t="str">
        <f t="shared" si="21"/>
        <v>ОК</v>
      </c>
      <c r="O93" s="80" t="str">
        <f t="shared" si="21"/>
        <v>ОК</v>
      </c>
      <c r="P93" s="80" t="str">
        <f t="shared" si="21"/>
        <v>ОК</v>
      </c>
      <c r="Q93" s="80" t="str">
        <f t="shared" si="21"/>
        <v>ОК</v>
      </c>
      <c r="R93" s="80" t="str">
        <f t="shared" si="21"/>
        <v>ОК</v>
      </c>
      <c r="S93" s="80" t="str">
        <f t="shared" si="21"/>
        <v>ОК</v>
      </c>
      <c r="T93" s="80" t="str">
        <f t="shared" si="21"/>
        <v>ОК</v>
      </c>
      <c r="U93" s="80" t="str">
        <f t="shared" si="21"/>
        <v>ОК</v>
      </c>
      <c r="V93" s="80" t="str">
        <f t="shared" si="21"/>
        <v>ОК</v>
      </c>
      <c r="W93" s="80" t="str">
        <f t="shared" si="21"/>
        <v>ОК</v>
      </c>
      <c r="X93" s="80" t="str">
        <f t="shared" si="21"/>
        <v>ОК</v>
      </c>
      <c r="Y93" s="80" t="str">
        <f t="shared" si="21"/>
        <v>ОК</v>
      </c>
    </row>
    <row r="94" spans="1:25" s="78" customFormat="1" ht="28" x14ac:dyDescent="0.2">
      <c r="A94" s="79" t="s">
        <v>493</v>
      </c>
      <c r="B94" s="80" t="s">
        <v>494</v>
      </c>
      <c r="C94" s="80"/>
      <c r="D94" s="79" t="s">
        <v>495</v>
      </c>
      <c r="E94" s="80" t="str">
        <f t="shared" ref="E94:Y94" si="22">IF(Skl_outdoor_req=1,IF(AND(E87=1,E86&lt;=Skl_temp_min),"ОК","НЕТ"),"ОК")</f>
        <v>ОК</v>
      </c>
      <c r="F94" s="80" t="str">
        <f t="shared" si="22"/>
        <v>ОК</v>
      </c>
      <c r="G94" s="80" t="str">
        <f t="shared" si="22"/>
        <v>ОК</v>
      </c>
      <c r="H94" s="80" t="str">
        <f t="shared" si="22"/>
        <v>ОК</v>
      </c>
      <c r="I94" s="80" t="str">
        <f t="shared" si="22"/>
        <v>ОК</v>
      </c>
      <c r="J94" s="80" t="str">
        <f t="shared" si="22"/>
        <v>ОК</v>
      </c>
      <c r="K94" s="80" t="str">
        <f t="shared" si="22"/>
        <v>ОК</v>
      </c>
      <c r="L94" s="80" t="str">
        <f t="shared" si="22"/>
        <v>ОК</v>
      </c>
      <c r="M94" s="80" t="str">
        <f t="shared" si="22"/>
        <v>ОК</v>
      </c>
      <c r="N94" s="80" t="str">
        <f t="shared" si="22"/>
        <v>ОК</v>
      </c>
      <c r="O94" s="80" t="str">
        <f t="shared" si="22"/>
        <v>ОК</v>
      </c>
      <c r="P94" s="80" t="str">
        <f t="shared" si="22"/>
        <v>ОК</v>
      </c>
      <c r="Q94" s="80" t="str">
        <f t="shared" si="22"/>
        <v>ОК</v>
      </c>
      <c r="R94" s="80" t="str">
        <f t="shared" si="22"/>
        <v>ОК</v>
      </c>
      <c r="S94" s="80" t="str">
        <f t="shared" si="22"/>
        <v>ОК</v>
      </c>
      <c r="T94" s="80" t="str">
        <f t="shared" si="22"/>
        <v>ОК</v>
      </c>
      <c r="U94" s="80" t="str">
        <f t="shared" si="22"/>
        <v>ОК</v>
      </c>
      <c r="V94" s="80" t="str">
        <f t="shared" si="22"/>
        <v>ОК</v>
      </c>
      <c r="W94" s="80" t="str">
        <f t="shared" si="22"/>
        <v>ОК</v>
      </c>
      <c r="X94" s="80" t="str">
        <f t="shared" si="22"/>
        <v>ОК</v>
      </c>
      <c r="Y94" s="80" t="str">
        <f t="shared" si="22"/>
        <v>ОК</v>
      </c>
    </row>
    <row r="95" spans="1:25" s="78" customFormat="1" ht="39" x14ac:dyDescent="0.2">
      <c r="A95" s="79" t="s">
        <v>496</v>
      </c>
      <c r="B95" s="81" t="s">
        <v>497</v>
      </c>
      <c r="C95" s="80" t="s">
        <v>323</v>
      </c>
      <c r="D95" s="79" t="s">
        <v>498</v>
      </c>
      <c r="E95" s="82">
        <f t="shared" ref="E95:Y95" si="23">IF(AND(E89="ОК",E90="ОК",E91="ОК",E92="ОК",E93="ОК",E94="ОК"),1,0)</f>
        <v>1</v>
      </c>
      <c r="F95" s="82">
        <f t="shared" si="23"/>
        <v>1</v>
      </c>
      <c r="G95" s="82">
        <f t="shared" si="23"/>
        <v>1</v>
      </c>
      <c r="H95" s="82">
        <f t="shared" si="23"/>
        <v>1</v>
      </c>
      <c r="I95" s="82">
        <f t="shared" si="23"/>
        <v>1</v>
      </c>
      <c r="J95" s="82">
        <f t="shared" si="23"/>
        <v>1</v>
      </c>
      <c r="K95" s="82">
        <f t="shared" si="23"/>
        <v>1</v>
      </c>
      <c r="L95" s="82">
        <f t="shared" si="23"/>
        <v>1</v>
      </c>
      <c r="M95" s="82">
        <f t="shared" si="23"/>
        <v>1</v>
      </c>
      <c r="N95" s="82">
        <f t="shared" si="23"/>
        <v>1</v>
      </c>
      <c r="O95" s="82">
        <f t="shared" si="23"/>
        <v>1</v>
      </c>
      <c r="P95" s="82">
        <f t="shared" si="23"/>
        <v>1</v>
      </c>
      <c r="Q95" s="82">
        <f t="shared" si="23"/>
        <v>1</v>
      </c>
      <c r="R95" s="82">
        <f t="shared" si="23"/>
        <v>1</v>
      </c>
      <c r="S95" s="82">
        <f t="shared" si="23"/>
        <v>1</v>
      </c>
      <c r="T95" s="82">
        <f t="shared" si="23"/>
        <v>1</v>
      </c>
      <c r="U95" s="82">
        <f t="shared" si="23"/>
        <v>1</v>
      </c>
      <c r="V95" s="82">
        <f t="shared" si="23"/>
        <v>1</v>
      </c>
      <c r="W95" s="82">
        <f t="shared" si="23"/>
        <v>1</v>
      </c>
      <c r="X95" s="82">
        <f t="shared" si="23"/>
        <v>1</v>
      </c>
      <c r="Y95" s="82">
        <f t="shared" si="23"/>
        <v>1</v>
      </c>
    </row>
    <row r="96" spans="1:25" s="78" customFormat="1" ht="143" x14ac:dyDescent="0.2">
      <c r="A96" s="79" t="s">
        <v>499</v>
      </c>
      <c r="B96" s="80" t="s">
        <v>500</v>
      </c>
      <c r="C96" s="80"/>
      <c r="D96" s="79" t="s">
        <v>501</v>
      </c>
      <c r="E96" s="80" t="str">
        <f t="shared" ref="E96:Y96" si="24">IF(E95=1,"Применимо: все ключевые ограничения выполнены","Не применимо: "&amp;IF(E89="НЕТ","класс задачи; ","")&amp;IF(E90="НЕТ","способ обработки груза; ","")&amp;IF(E91="НЕТ","не допущен в помещения; ","")&amp;IF(E92="НЕТ","грузоподъёмность ниже массы единицы груза; ","")&amp;IF(E93="НЕТ","габариты не проходят по ширине прохода; ","")&amp;IF(E94="НЕТ","не сертифицирован для условий эксплуатации; ",""))</f>
        <v>Применимо: все ключевые ограничения выполнены</v>
      </c>
      <c r="F96" s="80" t="str">
        <f t="shared" si="24"/>
        <v>Применимо: все ключевые ограничения выполнены</v>
      </c>
      <c r="G96" s="80" t="str">
        <f t="shared" si="24"/>
        <v>Применимо: все ключевые ограничения выполнены</v>
      </c>
      <c r="H96" s="80" t="str">
        <f t="shared" si="24"/>
        <v>Применимо: все ключевые ограничения выполнены</v>
      </c>
      <c r="I96" s="80" t="str">
        <f t="shared" si="24"/>
        <v>Применимо: все ключевые ограничения выполнены</v>
      </c>
      <c r="J96" s="80" t="str">
        <f t="shared" si="24"/>
        <v>Применимо: все ключевые ограничения выполнены</v>
      </c>
      <c r="K96" s="80" t="str">
        <f t="shared" si="24"/>
        <v>Применимо: все ключевые ограничения выполнены</v>
      </c>
      <c r="L96" s="80" t="str">
        <f t="shared" si="24"/>
        <v>Применимо: все ключевые ограничения выполнены</v>
      </c>
      <c r="M96" s="80" t="str">
        <f t="shared" si="24"/>
        <v>Применимо: все ключевые ограничения выполнены</v>
      </c>
      <c r="N96" s="80" t="str">
        <f t="shared" si="24"/>
        <v>Применимо: все ключевые ограничения выполнены</v>
      </c>
      <c r="O96" s="80" t="str">
        <f t="shared" si="24"/>
        <v>Применимо: все ключевые ограничения выполнены</v>
      </c>
      <c r="P96" s="80" t="str">
        <f t="shared" si="24"/>
        <v>Применимо: все ключевые ограничения выполнены</v>
      </c>
      <c r="Q96" s="80" t="str">
        <f t="shared" si="24"/>
        <v>Применимо: все ключевые ограничения выполнены</v>
      </c>
      <c r="R96" s="80" t="str">
        <f t="shared" si="24"/>
        <v>Применимо: все ключевые ограничения выполнены</v>
      </c>
      <c r="S96" s="80" t="str">
        <f t="shared" si="24"/>
        <v>Применимо: все ключевые ограничения выполнены</v>
      </c>
      <c r="T96" s="80" t="str">
        <f t="shared" si="24"/>
        <v>Применимо: все ключевые ограничения выполнены</v>
      </c>
      <c r="U96" s="80" t="str">
        <f t="shared" si="24"/>
        <v>Применимо: все ключевые ограничения выполнены</v>
      </c>
      <c r="V96" s="80" t="str">
        <f t="shared" si="24"/>
        <v>Применимо: все ключевые ограничения выполнены</v>
      </c>
      <c r="W96" s="80" t="str">
        <f t="shared" si="24"/>
        <v>Применимо: все ключевые ограничения выполнены</v>
      </c>
      <c r="X96" s="80" t="str">
        <f t="shared" si="24"/>
        <v>Применимо: все ключевые ограничения выполнены</v>
      </c>
      <c r="Y96" s="80" t="str">
        <f t="shared" si="24"/>
        <v>Применимо: все ключевые ограничения выполнены</v>
      </c>
    </row>
    <row r="97" spans="1:25" x14ac:dyDescent="0.2">
      <c r="A97" s="26"/>
      <c r="B97" s="27" t="s">
        <v>502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x14ac:dyDescent="0.2">
      <c r="A98" s="8" t="s">
        <v>503</v>
      </c>
      <c r="B98" s="6" t="s">
        <v>504</v>
      </c>
      <c r="C98" s="6" t="s">
        <v>308</v>
      </c>
      <c r="D98" s="8" t="s">
        <v>505</v>
      </c>
      <c r="E98" s="114">
        <f t="shared" ref="E98:Y98" si="25">Skl_ops_day*E$66</f>
        <v>2000</v>
      </c>
      <c r="F98" s="39">
        <f t="shared" si="25"/>
        <v>2000</v>
      </c>
      <c r="G98" s="39">
        <f t="shared" si="25"/>
        <v>2000</v>
      </c>
      <c r="H98" s="39">
        <f t="shared" si="25"/>
        <v>1600</v>
      </c>
      <c r="I98" s="39">
        <f t="shared" si="25"/>
        <v>2400</v>
      </c>
      <c r="J98" s="39">
        <f t="shared" si="25"/>
        <v>2000</v>
      </c>
      <c r="K98" s="39">
        <f t="shared" si="25"/>
        <v>2000</v>
      </c>
      <c r="L98" s="39">
        <f t="shared" si="25"/>
        <v>2000</v>
      </c>
      <c r="M98" s="39">
        <f t="shared" si="25"/>
        <v>2000</v>
      </c>
      <c r="N98" s="39">
        <f t="shared" si="25"/>
        <v>2000</v>
      </c>
      <c r="O98" s="39">
        <f t="shared" si="25"/>
        <v>1600</v>
      </c>
      <c r="P98" s="39">
        <f t="shared" si="25"/>
        <v>2400</v>
      </c>
      <c r="Q98" s="39">
        <f t="shared" si="25"/>
        <v>2000</v>
      </c>
      <c r="R98" s="39">
        <f t="shared" si="25"/>
        <v>2000</v>
      </c>
      <c r="S98" s="39">
        <f t="shared" si="25"/>
        <v>2000</v>
      </c>
      <c r="T98" s="39">
        <f t="shared" si="25"/>
        <v>2000</v>
      </c>
      <c r="U98" s="39">
        <f t="shared" si="25"/>
        <v>2000</v>
      </c>
      <c r="V98" s="39">
        <f t="shared" si="25"/>
        <v>1600</v>
      </c>
      <c r="W98" s="39">
        <f t="shared" si="25"/>
        <v>2400</v>
      </c>
      <c r="X98" s="39">
        <f t="shared" si="25"/>
        <v>2000</v>
      </c>
      <c r="Y98" s="39">
        <f t="shared" si="25"/>
        <v>2000</v>
      </c>
    </row>
    <row r="99" spans="1:25" x14ac:dyDescent="0.2">
      <c r="A99" s="8" t="s">
        <v>506</v>
      </c>
      <c r="B99" s="6" t="s">
        <v>507</v>
      </c>
      <c r="C99" s="6" t="s">
        <v>308</v>
      </c>
      <c r="D99" s="8" t="s">
        <v>508</v>
      </c>
      <c r="E99" s="114">
        <f t="shared" ref="E99:Y99" si="26">E98*Skl_auto_share</f>
        <v>2000</v>
      </c>
      <c r="F99" s="39">
        <f t="shared" si="26"/>
        <v>2000</v>
      </c>
      <c r="G99" s="39">
        <f t="shared" si="26"/>
        <v>2000</v>
      </c>
      <c r="H99" s="39">
        <f t="shared" si="26"/>
        <v>1600</v>
      </c>
      <c r="I99" s="39">
        <f t="shared" si="26"/>
        <v>2400</v>
      </c>
      <c r="J99" s="39">
        <f t="shared" si="26"/>
        <v>2000</v>
      </c>
      <c r="K99" s="39">
        <f t="shared" si="26"/>
        <v>2000</v>
      </c>
      <c r="L99" s="39">
        <f t="shared" si="26"/>
        <v>2000</v>
      </c>
      <c r="M99" s="39">
        <f t="shared" si="26"/>
        <v>2000</v>
      </c>
      <c r="N99" s="39">
        <f t="shared" si="26"/>
        <v>2000</v>
      </c>
      <c r="O99" s="39">
        <f t="shared" si="26"/>
        <v>1600</v>
      </c>
      <c r="P99" s="39">
        <f t="shared" si="26"/>
        <v>2400</v>
      </c>
      <c r="Q99" s="39">
        <f t="shared" si="26"/>
        <v>2000</v>
      </c>
      <c r="R99" s="39">
        <f t="shared" si="26"/>
        <v>2000</v>
      </c>
      <c r="S99" s="39">
        <f t="shared" si="26"/>
        <v>2000</v>
      </c>
      <c r="T99" s="39">
        <f t="shared" si="26"/>
        <v>2000</v>
      </c>
      <c r="U99" s="39">
        <f t="shared" si="26"/>
        <v>2000</v>
      </c>
      <c r="V99" s="39">
        <f t="shared" si="26"/>
        <v>1600</v>
      </c>
      <c r="W99" s="39">
        <f t="shared" si="26"/>
        <v>2400</v>
      </c>
      <c r="X99" s="39">
        <f t="shared" si="26"/>
        <v>2000</v>
      </c>
      <c r="Y99" s="39">
        <f t="shared" si="26"/>
        <v>2000</v>
      </c>
    </row>
    <row r="100" spans="1:25" ht="28" x14ac:dyDescent="0.2">
      <c r="A100" s="8" t="s">
        <v>509</v>
      </c>
      <c r="B100" s="6" t="s">
        <v>510</v>
      </c>
      <c r="C100" s="6" t="s">
        <v>511</v>
      </c>
      <c r="D100" s="8" t="s">
        <v>512</v>
      </c>
      <c r="E100" s="115">
        <f t="shared" ref="E100:Y100" si="27">IF(Skl_divisible=1,ROUNDUP(Skl_unit_mass/MAX(E76,1),0),1)</f>
        <v>1</v>
      </c>
      <c r="F100" s="35">
        <f t="shared" si="27"/>
        <v>1</v>
      </c>
      <c r="G100" s="35">
        <f t="shared" si="27"/>
        <v>1</v>
      </c>
      <c r="H100" s="35">
        <f t="shared" si="27"/>
        <v>1</v>
      </c>
      <c r="I100" s="35">
        <f t="shared" si="27"/>
        <v>1</v>
      </c>
      <c r="J100" s="35">
        <f t="shared" si="27"/>
        <v>1</v>
      </c>
      <c r="K100" s="35">
        <f t="shared" si="27"/>
        <v>1</v>
      </c>
      <c r="L100" s="35">
        <f t="shared" si="27"/>
        <v>1</v>
      </c>
      <c r="M100" s="35">
        <f t="shared" si="27"/>
        <v>1</v>
      </c>
      <c r="N100" s="35">
        <f t="shared" si="27"/>
        <v>1</v>
      </c>
      <c r="O100" s="35">
        <f t="shared" si="27"/>
        <v>1</v>
      </c>
      <c r="P100" s="35">
        <f t="shared" si="27"/>
        <v>1</v>
      </c>
      <c r="Q100" s="35">
        <f t="shared" si="27"/>
        <v>1</v>
      </c>
      <c r="R100" s="35">
        <f t="shared" si="27"/>
        <v>1</v>
      </c>
      <c r="S100" s="35">
        <f t="shared" si="27"/>
        <v>1</v>
      </c>
      <c r="T100" s="35">
        <f t="shared" si="27"/>
        <v>1</v>
      </c>
      <c r="U100" s="35">
        <f t="shared" si="27"/>
        <v>1</v>
      </c>
      <c r="V100" s="35">
        <f t="shared" si="27"/>
        <v>1</v>
      </c>
      <c r="W100" s="35">
        <f t="shared" si="27"/>
        <v>1</v>
      </c>
      <c r="X100" s="35">
        <f t="shared" si="27"/>
        <v>1</v>
      </c>
      <c r="Y100" s="35">
        <f t="shared" si="27"/>
        <v>1</v>
      </c>
    </row>
    <row r="101" spans="1:25" x14ac:dyDescent="0.2">
      <c r="A101" s="8" t="s">
        <v>513</v>
      </c>
      <c r="B101" s="6" t="s">
        <v>514</v>
      </c>
      <c r="C101" s="6" t="s">
        <v>273</v>
      </c>
      <c r="D101" s="8" t="s">
        <v>313</v>
      </c>
      <c r="E101" s="114">
        <f t="shared" ref="E101:Y101" si="28">Skl_hours_day</f>
        <v>22</v>
      </c>
      <c r="F101" s="39">
        <f t="shared" si="28"/>
        <v>22</v>
      </c>
      <c r="G101" s="39">
        <f t="shared" si="28"/>
        <v>22</v>
      </c>
      <c r="H101" s="39">
        <f t="shared" si="28"/>
        <v>22</v>
      </c>
      <c r="I101" s="39">
        <f t="shared" si="28"/>
        <v>22</v>
      </c>
      <c r="J101" s="39">
        <f t="shared" si="28"/>
        <v>22</v>
      </c>
      <c r="K101" s="39">
        <f t="shared" si="28"/>
        <v>22</v>
      </c>
      <c r="L101" s="39">
        <f t="shared" si="28"/>
        <v>22</v>
      </c>
      <c r="M101" s="39">
        <f t="shared" si="28"/>
        <v>22</v>
      </c>
      <c r="N101" s="39">
        <f t="shared" si="28"/>
        <v>22</v>
      </c>
      <c r="O101" s="39">
        <f t="shared" si="28"/>
        <v>22</v>
      </c>
      <c r="P101" s="39">
        <f t="shared" si="28"/>
        <v>22</v>
      </c>
      <c r="Q101" s="39">
        <f t="shared" si="28"/>
        <v>22</v>
      </c>
      <c r="R101" s="39">
        <f t="shared" si="28"/>
        <v>22</v>
      </c>
      <c r="S101" s="39">
        <f t="shared" si="28"/>
        <v>22</v>
      </c>
      <c r="T101" s="39">
        <f t="shared" si="28"/>
        <v>22</v>
      </c>
      <c r="U101" s="39">
        <f t="shared" si="28"/>
        <v>22</v>
      </c>
      <c r="V101" s="39">
        <f t="shared" si="28"/>
        <v>22</v>
      </c>
      <c r="W101" s="39">
        <f t="shared" si="28"/>
        <v>22</v>
      </c>
      <c r="X101" s="39">
        <f t="shared" si="28"/>
        <v>22</v>
      </c>
      <c r="Y101" s="39">
        <f t="shared" si="28"/>
        <v>22</v>
      </c>
    </row>
    <row r="102" spans="1:25" x14ac:dyDescent="0.2">
      <c r="A102" s="8" t="s">
        <v>515</v>
      </c>
      <c r="B102" s="6" t="s">
        <v>516</v>
      </c>
      <c r="C102" s="6" t="s">
        <v>317</v>
      </c>
      <c r="D102" s="8" t="s">
        <v>517</v>
      </c>
      <c r="E102" s="116">
        <f t="shared" ref="E102:Y102" si="29">E99/E101</f>
        <v>90.909090909090907</v>
      </c>
      <c r="F102" s="36">
        <f t="shared" si="29"/>
        <v>90.909090909090907</v>
      </c>
      <c r="G102" s="36">
        <f t="shared" si="29"/>
        <v>90.909090909090907</v>
      </c>
      <c r="H102" s="36">
        <f t="shared" si="29"/>
        <v>72.727272727272734</v>
      </c>
      <c r="I102" s="36">
        <f t="shared" si="29"/>
        <v>109.09090909090909</v>
      </c>
      <c r="J102" s="36">
        <f t="shared" si="29"/>
        <v>90.909090909090907</v>
      </c>
      <c r="K102" s="36">
        <f t="shared" si="29"/>
        <v>90.909090909090907</v>
      </c>
      <c r="L102" s="36">
        <f t="shared" si="29"/>
        <v>90.909090909090907</v>
      </c>
      <c r="M102" s="36">
        <f t="shared" si="29"/>
        <v>90.909090909090907</v>
      </c>
      <c r="N102" s="36">
        <f t="shared" si="29"/>
        <v>90.909090909090907</v>
      </c>
      <c r="O102" s="36">
        <f t="shared" si="29"/>
        <v>72.727272727272734</v>
      </c>
      <c r="P102" s="36">
        <f t="shared" si="29"/>
        <v>109.09090909090909</v>
      </c>
      <c r="Q102" s="36">
        <f t="shared" si="29"/>
        <v>90.909090909090907</v>
      </c>
      <c r="R102" s="36">
        <f t="shared" si="29"/>
        <v>90.909090909090907</v>
      </c>
      <c r="S102" s="36">
        <f t="shared" si="29"/>
        <v>90.909090909090907</v>
      </c>
      <c r="T102" s="36">
        <f t="shared" si="29"/>
        <v>90.909090909090907</v>
      </c>
      <c r="U102" s="36">
        <f t="shared" si="29"/>
        <v>90.909090909090907</v>
      </c>
      <c r="V102" s="36">
        <f t="shared" si="29"/>
        <v>72.727272727272734</v>
      </c>
      <c r="W102" s="36">
        <f t="shared" si="29"/>
        <v>109.09090909090909</v>
      </c>
      <c r="X102" s="36">
        <f t="shared" si="29"/>
        <v>90.909090909090907</v>
      </c>
      <c r="Y102" s="36">
        <f t="shared" si="29"/>
        <v>90.909090909090907</v>
      </c>
    </row>
    <row r="103" spans="1:25" x14ac:dyDescent="0.2">
      <c r="A103" s="8" t="s">
        <v>518</v>
      </c>
      <c r="B103" s="6" t="s">
        <v>519</v>
      </c>
      <c r="C103" s="6" t="s">
        <v>317</v>
      </c>
      <c r="D103" s="8" t="s">
        <v>520</v>
      </c>
      <c r="E103" s="116">
        <f t="shared" ref="E103:Y103" si="30">Skl_peak_ops_h*E$66*Skl_auto_share</f>
        <v>136.36363636363637</v>
      </c>
      <c r="F103" s="36">
        <f t="shared" si="30"/>
        <v>136.36363636363637</v>
      </c>
      <c r="G103" s="36">
        <f t="shared" si="30"/>
        <v>136.36363636363637</v>
      </c>
      <c r="H103" s="36">
        <f t="shared" si="30"/>
        <v>109.09090909090911</v>
      </c>
      <c r="I103" s="36">
        <f t="shared" si="30"/>
        <v>163.63636363636365</v>
      </c>
      <c r="J103" s="36">
        <f t="shared" si="30"/>
        <v>136.36363636363637</v>
      </c>
      <c r="K103" s="36">
        <f t="shared" si="30"/>
        <v>136.36363636363637</v>
      </c>
      <c r="L103" s="36">
        <f t="shared" si="30"/>
        <v>136.36363636363637</v>
      </c>
      <c r="M103" s="36">
        <f t="shared" si="30"/>
        <v>136.36363636363637</v>
      </c>
      <c r="N103" s="36">
        <f t="shared" si="30"/>
        <v>136.36363636363637</v>
      </c>
      <c r="O103" s="36">
        <f t="shared" si="30"/>
        <v>109.09090909090911</v>
      </c>
      <c r="P103" s="36">
        <f t="shared" si="30"/>
        <v>163.63636363636365</v>
      </c>
      <c r="Q103" s="36">
        <f t="shared" si="30"/>
        <v>136.36363636363637</v>
      </c>
      <c r="R103" s="36">
        <f t="shared" si="30"/>
        <v>136.36363636363637</v>
      </c>
      <c r="S103" s="36">
        <f t="shared" si="30"/>
        <v>136.36363636363637</v>
      </c>
      <c r="T103" s="36">
        <f t="shared" si="30"/>
        <v>136.36363636363637</v>
      </c>
      <c r="U103" s="36">
        <f t="shared" si="30"/>
        <v>136.36363636363637</v>
      </c>
      <c r="V103" s="36">
        <f t="shared" si="30"/>
        <v>109.09090909090911</v>
      </c>
      <c r="W103" s="36">
        <f t="shared" si="30"/>
        <v>163.63636363636365</v>
      </c>
      <c r="X103" s="36">
        <f t="shared" si="30"/>
        <v>136.36363636363637</v>
      </c>
      <c r="Y103" s="36">
        <f t="shared" si="30"/>
        <v>136.36363636363637</v>
      </c>
    </row>
    <row r="104" spans="1:25" x14ac:dyDescent="0.2">
      <c r="A104" s="8" t="s">
        <v>521</v>
      </c>
      <c r="B104" s="6" t="s">
        <v>522</v>
      </c>
      <c r="C104" s="6" t="s">
        <v>523</v>
      </c>
      <c r="D104" s="8" t="s">
        <v>524</v>
      </c>
      <c r="E104" s="116">
        <f t="shared" ref="E104:Y104" si="31">E103*E100</f>
        <v>136.36363636363637</v>
      </c>
      <c r="F104" s="36">
        <f t="shared" si="31"/>
        <v>136.36363636363637</v>
      </c>
      <c r="G104" s="36">
        <f t="shared" si="31"/>
        <v>136.36363636363637</v>
      </c>
      <c r="H104" s="36">
        <f t="shared" si="31"/>
        <v>109.09090909090911</v>
      </c>
      <c r="I104" s="36">
        <f t="shared" si="31"/>
        <v>163.63636363636365</v>
      </c>
      <c r="J104" s="36">
        <f t="shared" si="31"/>
        <v>136.36363636363637</v>
      </c>
      <c r="K104" s="36">
        <f t="shared" si="31"/>
        <v>136.36363636363637</v>
      </c>
      <c r="L104" s="36">
        <f t="shared" si="31"/>
        <v>136.36363636363637</v>
      </c>
      <c r="M104" s="36">
        <f t="shared" si="31"/>
        <v>136.36363636363637</v>
      </c>
      <c r="N104" s="36">
        <f t="shared" si="31"/>
        <v>136.36363636363637</v>
      </c>
      <c r="O104" s="36">
        <f t="shared" si="31"/>
        <v>109.09090909090911</v>
      </c>
      <c r="P104" s="36">
        <f t="shared" si="31"/>
        <v>163.63636363636365</v>
      </c>
      <c r="Q104" s="36">
        <f t="shared" si="31"/>
        <v>136.36363636363637</v>
      </c>
      <c r="R104" s="36">
        <f t="shared" si="31"/>
        <v>136.36363636363637</v>
      </c>
      <c r="S104" s="36">
        <f t="shared" si="31"/>
        <v>136.36363636363637</v>
      </c>
      <c r="T104" s="36">
        <f t="shared" si="31"/>
        <v>136.36363636363637</v>
      </c>
      <c r="U104" s="36">
        <f t="shared" si="31"/>
        <v>136.36363636363637</v>
      </c>
      <c r="V104" s="36">
        <f t="shared" si="31"/>
        <v>109.09090909090911</v>
      </c>
      <c r="W104" s="36">
        <f t="shared" si="31"/>
        <v>163.63636363636365</v>
      </c>
      <c r="X104" s="36">
        <f t="shared" si="31"/>
        <v>136.36363636363637</v>
      </c>
      <c r="Y104" s="36">
        <f t="shared" si="31"/>
        <v>136.36363636363637</v>
      </c>
    </row>
    <row r="105" spans="1:25" x14ac:dyDescent="0.2">
      <c r="A105" s="26"/>
      <c r="B105" s="27" t="s">
        <v>525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x14ac:dyDescent="0.2">
      <c r="A106" s="8" t="s">
        <v>526</v>
      </c>
      <c r="B106" s="6" t="s">
        <v>527</v>
      </c>
      <c r="C106" s="6" t="s">
        <v>264</v>
      </c>
      <c r="D106" s="8" t="s">
        <v>325</v>
      </c>
      <c r="E106" s="115">
        <f t="shared" ref="E106:Y106" si="32">Skl_L</f>
        <v>100</v>
      </c>
      <c r="F106" s="35">
        <f t="shared" si="32"/>
        <v>100</v>
      </c>
      <c r="G106" s="35">
        <f t="shared" si="32"/>
        <v>100</v>
      </c>
      <c r="H106" s="35">
        <f t="shared" si="32"/>
        <v>100</v>
      </c>
      <c r="I106" s="35">
        <f t="shared" si="32"/>
        <v>100</v>
      </c>
      <c r="J106" s="35">
        <f t="shared" si="32"/>
        <v>100</v>
      </c>
      <c r="K106" s="35">
        <f t="shared" si="32"/>
        <v>100</v>
      </c>
      <c r="L106" s="35">
        <f t="shared" si="32"/>
        <v>100</v>
      </c>
      <c r="M106" s="35">
        <f t="shared" si="32"/>
        <v>100</v>
      </c>
      <c r="N106" s="35">
        <f t="shared" si="32"/>
        <v>100</v>
      </c>
      <c r="O106" s="35">
        <f t="shared" si="32"/>
        <v>100</v>
      </c>
      <c r="P106" s="35">
        <f t="shared" si="32"/>
        <v>100</v>
      </c>
      <c r="Q106" s="35">
        <f t="shared" si="32"/>
        <v>100</v>
      </c>
      <c r="R106" s="35">
        <f t="shared" si="32"/>
        <v>100</v>
      </c>
      <c r="S106" s="35">
        <f t="shared" si="32"/>
        <v>100</v>
      </c>
      <c r="T106" s="35">
        <f t="shared" si="32"/>
        <v>100</v>
      </c>
      <c r="U106" s="35">
        <f t="shared" si="32"/>
        <v>100</v>
      </c>
      <c r="V106" s="35">
        <f t="shared" si="32"/>
        <v>100</v>
      </c>
      <c r="W106" s="35">
        <f t="shared" si="32"/>
        <v>100</v>
      </c>
      <c r="X106" s="35">
        <f t="shared" si="32"/>
        <v>100</v>
      </c>
      <c r="Y106" s="35">
        <f t="shared" si="32"/>
        <v>100</v>
      </c>
    </row>
    <row r="107" spans="1:25" ht="28" x14ac:dyDescent="0.2">
      <c r="A107" s="8" t="s">
        <v>528</v>
      </c>
      <c r="B107" s="6" t="s">
        <v>529</v>
      </c>
      <c r="C107" s="6" t="s">
        <v>330</v>
      </c>
      <c r="D107" s="8" t="s">
        <v>530</v>
      </c>
      <c r="E107" s="116">
        <f>MIN(E77,Skl_speed_cap)*N_kv</f>
        <v>1.5</v>
      </c>
      <c r="F107" s="36">
        <f t="shared" ref="E107:Y107" si="33">MIN(F77,Skl_speed_cap)*N_kv</f>
        <v>1.5</v>
      </c>
      <c r="G107" s="36">
        <f t="shared" si="33"/>
        <v>1.5</v>
      </c>
      <c r="H107" s="36">
        <f t="shared" si="33"/>
        <v>1.5</v>
      </c>
      <c r="I107" s="36">
        <f t="shared" si="33"/>
        <v>1.5</v>
      </c>
      <c r="J107" s="36">
        <f t="shared" si="33"/>
        <v>1.5</v>
      </c>
      <c r="K107" s="36">
        <f t="shared" si="33"/>
        <v>1.5</v>
      </c>
      <c r="L107" s="36">
        <f t="shared" si="33"/>
        <v>1.5</v>
      </c>
      <c r="M107" s="36">
        <f t="shared" si="33"/>
        <v>1.5</v>
      </c>
      <c r="N107" s="36">
        <f t="shared" si="33"/>
        <v>1.5</v>
      </c>
      <c r="O107" s="36">
        <f t="shared" si="33"/>
        <v>1.5</v>
      </c>
      <c r="P107" s="36">
        <f t="shared" si="33"/>
        <v>1.5</v>
      </c>
      <c r="Q107" s="36">
        <f t="shared" si="33"/>
        <v>1.5</v>
      </c>
      <c r="R107" s="36">
        <f t="shared" si="33"/>
        <v>1.5</v>
      </c>
      <c r="S107" s="36">
        <f t="shared" si="33"/>
        <v>1.5</v>
      </c>
      <c r="T107" s="36">
        <f t="shared" si="33"/>
        <v>1.5</v>
      </c>
      <c r="U107" s="36">
        <f t="shared" si="33"/>
        <v>1.5</v>
      </c>
      <c r="V107" s="36">
        <f t="shared" si="33"/>
        <v>1.5</v>
      </c>
      <c r="W107" s="36">
        <f t="shared" si="33"/>
        <v>1.5</v>
      </c>
      <c r="X107" s="36">
        <f t="shared" si="33"/>
        <v>1.5</v>
      </c>
      <c r="Y107" s="36">
        <f t="shared" si="33"/>
        <v>1.5</v>
      </c>
    </row>
    <row r="108" spans="1:25" x14ac:dyDescent="0.2">
      <c r="A108" s="8" t="s">
        <v>531</v>
      </c>
      <c r="B108" s="6" t="s">
        <v>532</v>
      </c>
      <c r="C108" s="6" t="s">
        <v>337</v>
      </c>
      <c r="D108" s="8" t="s">
        <v>533</v>
      </c>
      <c r="E108" s="115">
        <f t="shared" ref="E108:Y108" si="34">2*E106/E107</f>
        <v>133.33333333333334</v>
      </c>
      <c r="F108" s="35">
        <f t="shared" si="34"/>
        <v>133.33333333333334</v>
      </c>
      <c r="G108" s="35">
        <f t="shared" si="34"/>
        <v>133.33333333333334</v>
      </c>
      <c r="H108" s="35">
        <f t="shared" si="34"/>
        <v>133.33333333333334</v>
      </c>
      <c r="I108" s="35">
        <f t="shared" si="34"/>
        <v>133.33333333333334</v>
      </c>
      <c r="J108" s="35">
        <f t="shared" si="34"/>
        <v>133.33333333333334</v>
      </c>
      <c r="K108" s="35">
        <f t="shared" si="34"/>
        <v>133.33333333333334</v>
      </c>
      <c r="L108" s="35">
        <f t="shared" si="34"/>
        <v>133.33333333333334</v>
      </c>
      <c r="M108" s="35">
        <f t="shared" si="34"/>
        <v>133.33333333333334</v>
      </c>
      <c r="N108" s="35">
        <f t="shared" si="34"/>
        <v>133.33333333333334</v>
      </c>
      <c r="O108" s="35">
        <f t="shared" si="34"/>
        <v>133.33333333333334</v>
      </c>
      <c r="P108" s="35">
        <f t="shared" si="34"/>
        <v>133.33333333333334</v>
      </c>
      <c r="Q108" s="35">
        <f t="shared" si="34"/>
        <v>133.33333333333334</v>
      </c>
      <c r="R108" s="35">
        <f t="shared" si="34"/>
        <v>133.33333333333334</v>
      </c>
      <c r="S108" s="35">
        <f t="shared" si="34"/>
        <v>133.33333333333334</v>
      </c>
      <c r="T108" s="35">
        <f t="shared" si="34"/>
        <v>133.33333333333334</v>
      </c>
      <c r="U108" s="35">
        <f t="shared" si="34"/>
        <v>133.33333333333334</v>
      </c>
      <c r="V108" s="35">
        <f t="shared" si="34"/>
        <v>133.33333333333334</v>
      </c>
      <c r="W108" s="35">
        <f t="shared" si="34"/>
        <v>133.33333333333334</v>
      </c>
      <c r="X108" s="35">
        <f t="shared" si="34"/>
        <v>133.33333333333334</v>
      </c>
      <c r="Y108" s="35">
        <f t="shared" si="34"/>
        <v>133.33333333333334</v>
      </c>
    </row>
    <row r="109" spans="1:25" x14ac:dyDescent="0.2">
      <c r="A109" s="8" t="s">
        <v>534</v>
      </c>
      <c r="B109" s="6" t="s">
        <v>535</v>
      </c>
      <c r="C109" s="6" t="s">
        <v>337</v>
      </c>
      <c r="D109" s="8" t="s">
        <v>536</v>
      </c>
      <c r="E109" s="115">
        <f t="shared" ref="E109:Y109" si="35">Skl_lift_share*2*Skl_lift_time</f>
        <v>0</v>
      </c>
      <c r="F109" s="35">
        <f t="shared" si="35"/>
        <v>0</v>
      </c>
      <c r="G109" s="35">
        <f t="shared" si="35"/>
        <v>0</v>
      </c>
      <c r="H109" s="35">
        <f t="shared" si="35"/>
        <v>0</v>
      </c>
      <c r="I109" s="35">
        <f t="shared" si="35"/>
        <v>0</v>
      </c>
      <c r="J109" s="35">
        <f t="shared" si="35"/>
        <v>0</v>
      </c>
      <c r="K109" s="35">
        <f t="shared" si="35"/>
        <v>0</v>
      </c>
      <c r="L109" s="35">
        <f t="shared" si="35"/>
        <v>0</v>
      </c>
      <c r="M109" s="35">
        <f t="shared" si="35"/>
        <v>0</v>
      </c>
      <c r="N109" s="35">
        <f t="shared" si="35"/>
        <v>0</v>
      </c>
      <c r="O109" s="35">
        <f t="shared" si="35"/>
        <v>0</v>
      </c>
      <c r="P109" s="35">
        <f t="shared" si="35"/>
        <v>0</v>
      </c>
      <c r="Q109" s="35">
        <f t="shared" si="35"/>
        <v>0</v>
      </c>
      <c r="R109" s="35">
        <f t="shared" si="35"/>
        <v>0</v>
      </c>
      <c r="S109" s="35">
        <f t="shared" si="35"/>
        <v>0</v>
      </c>
      <c r="T109" s="35">
        <f t="shared" si="35"/>
        <v>0</v>
      </c>
      <c r="U109" s="35">
        <f t="shared" si="35"/>
        <v>0</v>
      </c>
      <c r="V109" s="35">
        <f t="shared" si="35"/>
        <v>0</v>
      </c>
      <c r="W109" s="35">
        <f t="shared" si="35"/>
        <v>0</v>
      </c>
      <c r="X109" s="35">
        <f t="shared" si="35"/>
        <v>0</v>
      </c>
      <c r="Y109" s="35">
        <f t="shared" si="35"/>
        <v>0</v>
      </c>
    </row>
    <row r="110" spans="1:25" x14ac:dyDescent="0.2">
      <c r="A110" s="8" t="s">
        <v>537</v>
      </c>
      <c r="B110" s="6" t="s">
        <v>538</v>
      </c>
      <c r="C110" s="6" t="s">
        <v>337</v>
      </c>
      <c r="D110" s="8" t="s">
        <v>539</v>
      </c>
      <c r="E110" s="115">
        <f>E108+E78+E79+E109</f>
        <v>193.33333333333334</v>
      </c>
      <c r="F110" s="35">
        <f t="shared" ref="E110:Y110" si="36">F108+F78+F79+F109</f>
        <v>253.33333333333334</v>
      </c>
      <c r="G110" s="35">
        <f t="shared" si="36"/>
        <v>253.33333333333334</v>
      </c>
      <c r="H110" s="35">
        <f t="shared" si="36"/>
        <v>253.33333333333334</v>
      </c>
      <c r="I110" s="35">
        <f t="shared" si="36"/>
        <v>253.33333333333334</v>
      </c>
      <c r="J110" s="35">
        <f t="shared" si="36"/>
        <v>253.33333333333334</v>
      </c>
      <c r="K110" s="35">
        <f t="shared" si="36"/>
        <v>253.33333333333334</v>
      </c>
      <c r="L110" s="35">
        <f t="shared" si="36"/>
        <v>253.33333333333334</v>
      </c>
      <c r="M110" s="35">
        <f t="shared" si="36"/>
        <v>253.33333333333334</v>
      </c>
      <c r="N110" s="35">
        <f t="shared" si="36"/>
        <v>253.33333333333334</v>
      </c>
      <c r="O110" s="35">
        <f t="shared" si="36"/>
        <v>253.33333333333334</v>
      </c>
      <c r="P110" s="35">
        <f t="shared" si="36"/>
        <v>253.33333333333334</v>
      </c>
      <c r="Q110" s="35">
        <f t="shared" si="36"/>
        <v>253.33333333333334</v>
      </c>
      <c r="R110" s="35">
        <f t="shared" si="36"/>
        <v>253.33333333333334</v>
      </c>
      <c r="S110" s="35">
        <f t="shared" si="36"/>
        <v>193.33333333333334</v>
      </c>
      <c r="T110" s="35">
        <f t="shared" si="36"/>
        <v>193.33333333333334</v>
      </c>
      <c r="U110" s="35">
        <f t="shared" si="36"/>
        <v>193.33333333333334</v>
      </c>
      <c r="V110" s="35">
        <f t="shared" si="36"/>
        <v>193.33333333333334</v>
      </c>
      <c r="W110" s="35">
        <f t="shared" si="36"/>
        <v>193.33333333333334</v>
      </c>
      <c r="X110" s="35">
        <f t="shared" si="36"/>
        <v>193.33333333333334</v>
      </c>
      <c r="Y110" s="35">
        <f t="shared" si="36"/>
        <v>193.33333333333334</v>
      </c>
    </row>
    <row r="111" spans="1:25" x14ac:dyDescent="0.2">
      <c r="A111" s="8" t="s">
        <v>540</v>
      </c>
      <c r="B111" s="6" t="s">
        <v>541</v>
      </c>
      <c r="C111" s="6" t="s">
        <v>523</v>
      </c>
      <c r="D111" s="8" t="s">
        <v>542</v>
      </c>
      <c r="E111" s="116">
        <f t="shared" ref="E111:Y111" si="37">3600/E110</f>
        <v>18.620689655172413</v>
      </c>
      <c r="F111" s="36">
        <f t="shared" si="37"/>
        <v>14.210526315789473</v>
      </c>
      <c r="G111" s="36">
        <f t="shared" si="37"/>
        <v>14.210526315789473</v>
      </c>
      <c r="H111" s="36">
        <f t="shared" si="37"/>
        <v>14.210526315789473</v>
      </c>
      <c r="I111" s="36">
        <f t="shared" si="37"/>
        <v>14.210526315789473</v>
      </c>
      <c r="J111" s="36">
        <f t="shared" si="37"/>
        <v>14.210526315789473</v>
      </c>
      <c r="K111" s="36">
        <f t="shared" si="37"/>
        <v>14.210526315789473</v>
      </c>
      <c r="L111" s="36">
        <f t="shared" si="37"/>
        <v>14.210526315789473</v>
      </c>
      <c r="M111" s="36">
        <f t="shared" si="37"/>
        <v>14.210526315789473</v>
      </c>
      <c r="N111" s="36">
        <f t="shared" si="37"/>
        <v>14.210526315789473</v>
      </c>
      <c r="O111" s="36">
        <f t="shared" si="37"/>
        <v>14.210526315789473</v>
      </c>
      <c r="P111" s="36">
        <f t="shared" si="37"/>
        <v>14.210526315789473</v>
      </c>
      <c r="Q111" s="36">
        <f t="shared" si="37"/>
        <v>14.210526315789473</v>
      </c>
      <c r="R111" s="36">
        <f t="shared" si="37"/>
        <v>14.210526315789473</v>
      </c>
      <c r="S111" s="36">
        <f t="shared" si="37"/>
        <v>18.620689655172413</v>
      </c>
      <c r="T111" s="36">
        <f t="shared" si="37"/>
        <v>18.620689655172413</v>
      </c>
      <c r="U111" s="36">
        <f t="shared" si="37"/>
        <v>18.620689655172413</v>
      </c>
      <c r="V111" s="36">
        <f t="shared" si="37"/>
        <v>18.620689655172413</v>
      </c>
      <c r="W111" s="36">
        <f t="shared" si="37"/>
        <v>18.620689655172413</v>
      </c>
      <c r="X111" s="36">
        <f t="shared" si="37"/>
        <v>18.620689655172413</v>
      </c>
      <c r="Y111" s="36">
        <f t="shared" si="37"/>
        <v>18.620689655172413</v>
      </c>
    </row>
    <row r="112" spans="1:25" ht="28" x14ac:dyDescent="0.2">
      <c r="A112" s="8" t="s">
        <v>543</v>
      </c>
      <c r="B112" s="6" t="s">
        <v>544</v>
      </c>
      <c r="C112" s="6" t="s">
        <v>523</v>
      </c>
      <c r="D112" s="8" t="s">
        <v>545</v>
      </c>
      <c r="E112" s="116">
        <f t="shared" ref="E112:Y112" si="38">E111*N_util*N_avail</f>
        <v>13.406896551724138</v>
      </c>
      <c r="F112" s="36">
        <f t="shared" si="38"/>
        <v>10.231578947368421</v>
      </c>
      <c r="G112" s="36">
        <f t="shared" si="38"/>
        <v>10.231578947368421</v>
      </c>
      <c r="H112" s="36">
        <f t="shared" si="38"/>
        <v>10.231578947368421</v>
      </c>
      <c r="I112" s="36">
        <f t="shared" si="38"/>
        <v>10.231578947368421</v>
      </c>
      <c r="J112" s="36">
        <f t="shared" si="38"/>
        <v>10.231578947368421</v>
      </c>
      <c r="K112" s="36">
        <f t="shared" si="38"/>
        <v>10.231578947368421</v>
      </c>
      <c r="L112" s="36">
        <f t="shared" si="38"/>
        <v>10.231578947368421</v>
      </c>
      <c r="M112" s="36">
        <f t="shared" si="38"/>
        <v>10.231578947368421</v>
      </c>
      <c r="N112" s="36">
        <f t="shared" si="38"/>
        <v>10.231578947368421</v>
      </c>
      <c r="O112" s="36">
        <f t="shared" si="38"/>
        <v>10.231578947368421</v>
      </c>
      <c r="P112" s="36">
        <f t="shared" si="38"/>
        <v>10.231578947368421</v>
      </c>
      <c r="Q112" s="36">
        <f t="shared" si="38"/>
        <v>10.231578947368421</v>
      </c>
      <c r="R112" s="36">
        <f t="shared" si="38"/>
        <v>10.231578947368421</v>
      </c>
      <c r="S112" s="36">
        <f t="shared" si="38"/>
        <v>13.406896551724138</v>
      </c>
      <c r="T112" s="36">
        <f t="shared" si="38"/>
        <v>13.406896551724138</v>
      </c>
      <c r="U112" s="36">
        <f t="shared" si="38"/>
        <v>13.406896551724138</v>
      </c>
      <c r="V112" s="36">
        <f t="shared" si="38"/>
        <v>13.406896551724138</v>
      </c>
      <c r="W112" s="36">
        <f t="shared" si="38"/>
        <v>13.406896551724138</v>
      </c>
      <c r="X112" s="36">
        <f t="shared" si="38"/>
        <v>13.406896551724138</v>
      </c>
      <c r="Y112" s="36">
        <f t="shared" si="38"/>
        <v>13.406896551724138</v>
      </c>
    </row>
    <row r="113" spans="1:25" ht="28" x14ac:dyDescent="0.2">
      <c r="A113" s="8" t="s">
        <v>546</v>
      </c>
      <c r="B113" s="37" t="s">
        <v>547</v>
      </c>
      <c r="C113" s="6" t="s">
        <v>548</v>
      </c>
      <c r="D113" s="8" t="s">
        <v>549</v>
      </c>
      <c r="E113" s="117">
        <f t="shared" ref="E113:Y113" si="39">IF(E95=1,MAX(1,ROUNDUP(E104/E112*(1+N_reserve),0)),0)</f>
        <v>12</v>
      </c>
      <c r="F113" s="38">
        <f t="shared" si="39"/>
        <v>15</v>
      </c>
      <c r="G113" s="38">
        <f t="shared" si="39"/>
        <v>15</v>
      </c>
      <c r="H113" s="38">
        <f t="shared" si="39"/>
        <v>12</v>
      </c>
      <c r="I113" s="38">
        <f t="shared" si="39"/>
        <v>18</v>
      </c>
      <c r="J113" s="38">
        <f t="shared" si="39"/>
        <v>15</v>
      </c>
      <c r="K113" s="38">
        <f t="shared" si="39"/>
        <v>15</v>
      </c>
      <c r="L113" s="38">
        <f t="shared" si="39"/>
        <v>15</v>
      </c>
      <c r="M113" s="38">
        <f t="shared" si="39"/>
        <v>15</v>
      </c>
      <c r="N113" s="38">
        <f t="shared" si="39"/>
        <v>15</v>
      </c>
      <c r="O113" s="38">
        <f t="shared" si="39"/>
        <v>12</v>
      </c>
      <c r="P113" s="38">
        <f t="shared" si="39"/>
        <v>18</v>
      </c>
      <c r="Q113" s="38">
        <f t="shared" si="39"/>
        <v>15</v>
      </c>
      <c r="R113" s="38">
        <f t="shared" si="39"/>
        <v>15</v>
      </c>
      <c r="S113" s="38">
        <f t="shared" si="39"/>
        <v>12</v>
      </c>
      <c r="T113" s="38">
        <f t="shared" si="39"/>
        <v>12</v>
      </c>
      <c r="U113" s="38">
        <f t="shared" si="39"/>
        <v>12</v>
      </c>
      <c r="V113" s="38">
        <f t="shared" si="39"/>
        <v>9</v>
      </c>
      <c r="W113" s="38">
        <f t="shared" si="39"/>
        <v>14</v>
      </c>
      <c r="X113" s="38">
        <f t="shared" si="39"/>
        <v>12</v>
      </c>
      <c r="Y113" s="38">
        <f t="shared" si="39"/>
        <v>12</v>
      </c>
    </row>
    <row r="114" spans="1:25" x14ac:dyDescent="0.2">
      <c r="A114" s="8" t="s">
        <v>550</v>
      </c>
      <c r="B114" s="37" t="s">
        <v>551</v>
      </c>
      <c r="C114" s="6" t="s">
        <v>548</v>
      </c>
      <c r="D114" s="8" t="s">
        <v>552</v>
      </c>
      <c r="E114" s="117">
        <f t="shared" ref="E114:Y114" si="40">ROUNDUP(E113/N_charger_ratio,0)</f>
        <v>6</v>
      </c>
      <c r="F114" s="38">
        <f t="shared" si="40"/>
        <v>8</v>
      </c>
      <c r="G114" s="38">
        <f t="shared" si="40"/>
        <v>8</v>
      </c>
      <c r="H114" s="38">
        <f t="shared" si="40"/>
        <v>6</v>
      </c>
      <c r="I114" s="38">
        <f t="shared" si="40"/>
        <v>9</v>
      </c>
      <c r="J114" s="38">
        <f t="shared" si="40"/>
        <v>8</v>
      </c>
      <c r="K114" s="38">
        <f t="shared" si="40"/>
        <v>8</v>
      </c>
      <c r="L114" s="38">
        <f t="shared" si="40"/>
        <v>8</v>
      </c>
      <c r="M114" s="38">
        <f t="shared" si="40"/>
        <v>8</v>
      </c>
      <c r="N114" s="38">
        <f t="shared" si="40"/>
        <v>8</v>
      </c>
      <c r="O114" s="38">
        <f t="shared" si="40"/>
        <v>6</v>
      </c>
      <c r="P114" s="38">
        <f t="shared" si="40"/>
        <v>9</v>
      </c>
      <c r="Q114" s="38">
        <f t="shared" si="40"/>
        <v>8</v>
      </c>
      <c r="R114" s="38">
        <f t="shared" si="40"/>
        <v>8</v>
      </c>
      <c r="S114" s="38">
        <f t="shared" si="40"/>
        <v>6</v>
      </c>
      <c r="T114" s="38">
        <f t="shared" si="40"/>
        <v>6</v>
      </c>
      <c r="U114" s="38">
        <f t="shared" si="40"/>
        <v>6</v>
      </c>
      <c r="V114" s="38">
        <f t="shared" si="40"/>
        <v>5</v>
      </c>
      <c r="W114" s="38">
        <f t="shared" si="40"/>
        <v>7</v>
      </c>
      <c r="X114" s="38">
        <f t="shared" si="40"/>
        <v>6</v>
      </c>
      <c r="Y114" s="38">
        <f t="shared" si="40"/>
        <v>6</v>
      </c>
    </row>
    <row r="115" spans="1:25" x14ac:dyDescent="0.2">
      <c r="A115" s="8" t="s">
        <v>553</v>
      </c>
      <c r="B115" s="6" t="s">
        <v>554</v>
      </c>
      <c r="C115" s="6" t="s">
        <v>523</v>
      </c>
      <c r="D115" s="8" t="s">
        <v>555</v>
      </c>
      <c r="E115" s="116">
        <f t="shared" ref="E115:Y115" si="41">E113*E112</f>
        <v>160.88275862068966</v>
      </c>
      <c r="F115" s="36">
        <f t="shared" si="41"/>
        <v>153.4736842105263</v>
      </c>
      <c r="G115" s="36">
        <f t="shared" si="41"/>
        <v>153.4736842105263</v>
      </c>
      <c r="H115" s="36">
        <f t="shared" si="41"/>
        <v>122.77894736842106</v>
      </c>
      <c r="I115" s="36">
        <f t="shared" si="41"/>
        <v>184.16842105263157</v>
      </c>
      <c r="J115" s="36">
        <f t="shared" si="41"/>
        <v>153.4736842105263</v>
      </c>
      <c r="K115" s="36">
        <f t="shared" si="41"/>
        <v>153.4736842105263</v>
      </c>
      <c r="L115" s="36">
        <f t="shared" si="41"/>
        <v>153.4736842105263</v>
      </c>
      <c r="M115" s="36">
        <f t="shared" si="41"/>
        <v>153.4736842105263</v>
      </c>
      <c r="N115" s="36">
        <f t="shared" si="41"/>
        <v>153.4736842105263</v>
      </c>
      <c r="O115" s="36">
        <f t="shared" si="41"/>
        <v>122.77894736842106</v>
      </c>
      <c r="P115" s="36">
        <f t="shared" si="41"/>
        <v>184.16842105263157</v>
      </c>
      <c r="Q115" s="36">
        <f t="shared" si="41"/>
        <v>153.4736842105263</v>
      </c>
      <c r="R115" s="36">
        <f t="shared" si="41"/>
        <v>153.4736842105263</v>
      </c>
      <c r="S115" s="36">
        <f t="shared" si="41"/>
        <v>160.88275862068966</v>
      </c>
      <c r="T115" s="36">
        <f t="shared" si="41"/>
        <v>160.88275862068966</v>
      </c>
      <c r="U115" s="36">
        <f t="shared" si="41"/>
        <v>160.88275862068966</v>
      </c>
      <c r="V115" s="36">
        <f t="shared" si="41"/>
        <v>120.66206896551725</v>
      </c>
      <c r="W115" s="36">
        <f t="shared" si="41"/>
        <v>187.69655172413792</v>
      </c>
      <c r="X115" s="36">
        <f t="shared" si="41"/>
        <v>160.88275862068966</v>
      </c>
      <c r="Y115" s="36">
        <f t="shared" si="41"/>
        <v>160.88275862068966</v>
      </c>
    </row>
    <row r="116" spans="1:25" ht="26" x14ac:dyDescent="0.2">
      <c r="A116" s="8" t="s">
        <v>556</v>
      </c>
      <c r="B116" s="6" t="s">
        <v>557</v>
      </c>
      <c r="C116" s="6" t="s">
        <v>558</v>
      </c>
      <c r="D116" s="8" t="s">
        <v>559</v>
      </c>
      <c r="E116" s="118">
        <f t="shared" ref="E116:Y116" si="42">IF(E113&gt;0,E102*E100/(E113*E111),0)</f>
        <v>0.40684624017957355</v>
      </c>
      <c r="F116" s="40">
        <f t="shared" si="42"/>
        <v>0.42648709315375988</v>
      </c>
      <c r="G116" s="40">
        <f t="shared" si="42"/>
        <v>0.42648709315375988</v>
      </c>
      <c r="H116" s="40">
        <f t="shared" si="42"/>
        <v>0.42648709315375988</v>
      </c>
      <c r="I116" s="40">
        <f t="shared" si="42"/>
        <v>0.42648709315375982</v>
      </c>
      <c r="J116" s="40">
        <f t="shared" si="42"/>
        <v>0.42648709315375988</v>
      </c>
      <c r="K116" s="40">
        <f t="shared" si="42"/>
        <v>0.42648709315375988</v>
      </c>
      <c r="L116" s="40">
        <f t="shared" si="42"/>
        <v>0.42648709315375988</v>
      </c>
      <c r="M116" s="40">
        <f t="shared" si="42"/>
        <v>0.42648709315375988</v>
      </c>
      <c r="N116" s="40">
        <f t="shared" si="42"/>
        <v>0.42648709315375988</v>
      </c>
      <c r="O116" s="40">
        <f t="shared" si="42"/>
        <v>0.42648709315375988</v>
      </c>
      <c r="P116" s="40">
        <f t="shared" si="42"/>
        <v>0.42648709315375982</v>
      </c>
      <c r="Q116" s="40">
        <f t="shared" si="42"/>
        <v>0.42648709315375988</v>
      </c>
      <c r="R116" s="40">
        <f t="shared" si="42"/>
        <v>0.42648709315375988</v>
      </c>
      <c r="S116" s="40">
        <f t="shared" si="42"/>
        <v>0.40684624017957355</v>
      </c>
      <c r="T116" s="40">
        <f t="shared" si="42"/>
        <v>0.40684624017957355</v>
      </c>
      <c r="U116" s="40">
        <f t="shared" si="42"/>
        <v>0.40684624017957355</v>
      </c>
      <c r="V116" s="40">
        <f t="shared" si="42"/>
        <v>0.43396932285821183</v>
      </c>
      <c r="W116" s="40">
        <f t="shared" si="42"/>
        <v>0.41847041847041849</v>
      </c>
      <c r="X116" s="40">
        <f t="shared" si="42"/>
        <v>0.40684624017957355</v>
      </c>
      <c r="Y116" s="40">
        <f t="shared" si="42"/>
        <v>0.40684624017957355</v>
      </c>
    </row>
    <row r="117" spans="1:25" x14ac:dyDescent="0.2">
      <c r="A117" s="8" t="s">
        <v>560</v>
      </c>
      <c r="B117" s="6" t="s">
        <v>561</v>
      </c>
      <c r="C117" s="6" t="s">
        <v>55</v>
      </c>
      <c r="D117" s="8" t="s">
        <v>562</v>
      </c>
      <c r="E117" s="114">
        <f t="shared" ref="E117:Y117" si="43">E114*N_charger_kw</f>
        <v>30</v>
      </c>
      <c r="F117" s="39">
        <f t="shared" si="43"/>
        <v>40</v>
      </c>
      <c r="G117" s="39">
        <f t="shared" si="43"/>
        <v>40</v>
      </c>
      <c r="H117" s="39">
        <f t="shared" si="43"/>
        <v>30</v>
      </c>
      <c r="I117" s="39">
        <f t="shared" si="43"/>
        <v>45</v>
      </c>
      <c r="J117" s="39">
        <f t="shared" si="43"/>
        <v>40</v>
      </c>
      <c r="K117" s="39">
        <f t="shared" si="43"/>
        <v>40</v>
      </c>
      <c r="L117" s="39">
        <f t="shared" si="43"/>
        <v>40</v>
      </c>
      <c r="M117" s="39">
        <f t="shared" si="43"/>
        <v>40</v>
      </c>
      <c r="N117" s="39">
        <f t="shared" si="43"/>
        <v>40</v>
      </c>
      <c r="O117" s="39">
        <f t="shared" si="43"/>
        <v>30</v>
      </c>
      <c r="P117" s="39">
        <f t="shared" si="43"/>
        <v>45</v>
      </c>
      <c r="Q117" s="39">
        <f t="shared" si="43"/>
        <v>40</v>
      </c>
      <c r="R117" s="39">
        <f t="shared" si="43"/>
        <v>40</v>
      </c>
      <c r="S117" s="39">
        <f t="shared" si="43"/>
        <v>30</v>
      </c>
      <c r="T117" s="39">
        <f t="shared" si="43"/>
        <v>30</v>
      </c>
      <c r="U117" s="39">
        <f t="shared" si="43"/>
        <v>30</v>
      </c>
      <c r="V117" s="39">
        <f t="shared" si="43"/>
        <v>25</v>
      </c>
      <c r="W117" s="39">
        <f t="shared" si="43"/>
        <v>35</v>
      </c>
      <c r="X117" s="39">
        <f t="shared" si="43"/>
        <v>30</v>
      </c>
      <c r="Y117" s="39">
        <f t="shared" si="43"/>
        <v>30</v>
      </c>
    </row>
    <row r="118" spans="1:25" ht="26" x14ac:dyDescent="0.2">
      <c r="A118" s="8" t="s">
        <v>563</v>
      </c>
      <c r="B118" s="6" t="s">
        <v>564</v>
      </c>
      <c r="C118" s="6"/>
      <c r="D118" s="8" t="s">
        <v>565</v>
      </c>
      <c r="E118" s="6" t="str">
        <f t="shared" ref="E118:Y118" si="44">IF(E117&lt;=Skl_power_kw,"ОК","Требуется усиление сети")</f>
        <v>ОК</v>
      </c>
      <c r="F118" s="6" t="str">
        <f t="shared" si="44"/>
        <v>ОК</v>
      </c>
      <c r="G118" s="6" t="str">
        <f t="shared" si="44"/>
        <v>ОК</v>
      </c>
      <c r="H118" s="6" t="str">
        <f t="shared" si="44"/>
        <v>ОК</v>
      </c>
      <c r="I118" s="6" t="str">
        <f t="shared" si="44"/>
        <v>ОК</v>
      </c>
      <c r="J118" s="6" t="str">
        <f t="shared" si="44"/>
        <v>ОК</v>
      </c>
      <c r="K118" s="6" t="str">
        <f t="shared" si="44"/>
        <v>ОК</v>
      </c>
      <c r="L118" s="6" t="str">
        <f t="shared" si="44"/>
        <v>ОК</v>
      </c>
      <c r="M118" s="6" t="str">
        <f t="shared" si="44"/>
        <v>ОК</v>
      </c>
      <c r="N118" s="6" t="str">
        <f t="shared" si="44"/>
        <v>ОК</v>
      </c>
      <c r="O118" s="6" t="str">
        <f t="shared" si="44"/>
        <v>ОК</v>
      </c>
      <c r="P118" s="6" t="str">
        <f t="shared" si="44"/>
        <v>ОК</v>
      </c>
      <c r="Q118" s="6" t="str">
        <f t="shared" si="44"/>
        <v>ОК</v>
      </c>
      <c r="R118" s="6" t="str">
        <f t="shared" si="44"/>
        <v>ОК</v>
      </c>
      <c r="S118" s="6" t="str">
        <f t="shared" si="44"/>
        <v>ОК</v>
      </c>
      <c r="T118" s="6" t="str">
        <f t="shared" si="44"/>
        <v>ОК</v>
      </c>
      <c r="U118" s="6" t="str">
        <f t="shared" si="44"/>
        <v>ОК</v>
      </c>
      <c r="V118" s="6" t="str">
        <f t="shared" si="44"/>
        <v>ОК</v>
      </c>
      <c r="W118" s="6" t="str">
        <f t="shared" si="44"/>
        <v>ОК</v>
      </c>
      <c r="X118" s="6" t="str">
        <f t="shared" si="44"/>
        <v>ОК</v>
      </c>
      <c r="Y118" s="6" t="str">
        <f t="shared" si="44"/>
        <v>ОК</v>
      </c>
    </row>
    <row r="119" spans="1:25" x14ac:dyDescent="0.2">
      <c r="A119" s="26"/>
      <c r="B119" s="27" t="s">
        <v>566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56" x14ac:dyDescent="0.2">
      <c r="A120" s="8" t="s">
        <v>567</v>
      </c>
      <c r="B120" s="6" t="s">
        <v>568</v>
      </c>
      <c r="C120" s="6" t="s">
        <v>91</v>
      </c>
      <c r="D120" s="8" t="s">
        <v>569</v>
      </c>
      <c r="E120" s="34">
        <f>Skl_base_labor*E$67*E$66</f>
        <v>46872000</v>
      </c>
      <c r="F120" s="34">
        <f t="shared" ref="E120:Y120" si="45">Skl_base_labor*F$67*F$66</f>
        <v>46872000</v>
      </c>
      <c r="G120" s="34">
        <f t="shared" si="45"/>
        <v>46872000</v>
      </c>
      <c r="H120" s="34">
        <f t="shared" si="45"/>
        <v>37497600</v>
      </c>
      <c r="I120" s="34">
        <f t="shared" si="45"/>
        <v>56246400</v>
      </c>
      <c r="J120" s="34">
        <f t="shared" si="45"/>
        <v>37497600</v>
      </c>
      <c r="K120" s="34">
        <f t="shared" si="45"/>
        <v>56246400</v>
      </c>
      <c r="L120" s="34">
        <f t="shared" si="45"/>
        <v>46872000</v>
      </c>
      <c r="M120" s="34">
        <f t="shared" si="45"/>
        <v>46872000</v>
      </c>
      <c r="N120" s="34">
        <f t="shared" si="45"/>
        <v>46872000</v>
      </c>
      <c r="O120" s="34">
        <f t="shared" si="45"/>
        <v>37497600</v>
      </c>
      <c r="P120" s="34">
        <f t="shared" si="45"/>
        <v>56246400</v>
      </c>
      <c r="Q120" s="34">
        <f t="shared" si="45"/>
        <v>37497600</v>
      </c>
      <c r="R120" s="34">
        <f t="shared" si="45"/>
        <v>56246400</v>
      </c>
      <c r="S120" s="34">
        <f t="shared" si="45"/>
        <v>46872000</v>
      </c>
      <c r="T120" s="34">
        <f t="shared" si="45"/>
        <v>46872000</v>
      </c>
      <c r="U120" s="34">
        <f t="shared" si="45"/>
        <v>46872000</v>
      </c>
      <c r="V120" s="34">
        <f t="shared" si="45"/>
        <v>37497600</v>
      </c>
      <c r="W120" s="34">
        <f t="shared" si="45"/>
        <v>56246400</v>
      </c>
      <c r="X120" s="34">
        <f t="shared" si="45"/>
        <v>37497600</v>
      </c>
      <c r="Y120" s="34">
        <f t="shared" si="45"/>
        <v>56246400</v>
      </c>
    </row>
    <row r="121" spans="1:25" x14ac:dyDescent="0.2">
      <c r="A121" s="8" t="s">
        <v>570</v>
      </c>
      <c r="B121" s="37" t="s">
        <v>571</v>
      </c>
      <c r="C121" s="6" t="s">
        <v>91</v>
      </c>
      <c r="D121" s="8" t="s">
        <v>572</v>
      </c>
      <c r="E121" s="41">
        <f t="shared" ref="E121:Y121" si="46">E120</f>
        <v>46872000</v>
      </c>
      <c r="F121" s="41">
        <f t="shared" si="46"/>
        <v>46872000</v>
      </c>
      <c r="G121" s="41">
        <f t="shared" si="46"/>
        <v>46872000</v>
      </c>
      <c r="H121" s="41">
        <f t="shared" si="46"/>
        <v>37497600</v>
      </c>
      <c r="I121" s="41">
        <f t="shared" si="46"/>
        <v>56246400</v>
      </c>
      <c r="J121" s="41">
        <f t="shared" si="46"/>
        <v>37497600</v>
      </c>
      <c r="K121" s="41">
        <f t="shared" si="46"/>
        <v>56246400</v>
      </c>
      <c r="L121" s="41">
        <f t="shared" si="46"/>
        <v>46872000</v>
      </c>
      <c r="M121" s="41">
        <f t="shared" si="46"/>
        <v>46872000</v>
      </c>
      <c r="N121" s="41">
        <f t="shared" si="46"/>
        <v>46872000</v>
      </c>
      <c r="O121" s="41">
        <f t="shared" si="46"/>
        <v>37497600</v>
      </c>
      <c r="P121" s="41">
        <f t="shared" si="46"/>
        <v>56246400</v>
      </c>
      <c r="Q121" s="41">
        <f t="shared" si="46"/>
        <v>37497600</v>
      </c>
      <c r="R121" s="41">
        <f t="shared" si="46"/>
        <v>56246400</v>
      </c>
      <c r="S121" s="41">
        <f t="shared" si="46"/>
        <v>46872000</v>
      </c>
      <c r="T121" s="41">
        <f t="shared" si="46"/>
        <v>46872000</v>
      </c>
      <c r="U121" s="41">
        <f t="shared" si="46"/>
        <v>46872000</v>
      </c>
      <c r="V121" s="41">
        <f t="shared" si="46"/>
        <v>37497600</v>
      </c>
      <c r="W121" s="41">
        <f t="shared" si="46"/>
        <v>56246400</v>
      </c>
      <c r="X121" s="41">
        <f t="shared" si="46"/>
        <v>37497600</v>
      </c>
      <c r="Y121" s="41">
        <f t="shared" si="46"/>
        <v>56246400</v>
      </c>
    </row>
    <row r="122" spans="1:25" x14ac:dyDescent="0.2">
      <c r="A122" s="26"/>
      <c r="B122" s="27" t="s">
        <v>573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x14ac:dyDescent="0.2">
      <c r="A123" s="8" t="s">
        <v>574</v>
      </c>
      <c r="B123" s="6" t="s">
        <v>575</v>
      </c>
      <c r="C123" s="6" t="s">
        <v>323</v>
      </c>
      <c r="D123" s="8" t="s">
        <v>576</v>
      </c>
      <c r="E123" s="35">
        <f t="shared" ref="E123:Y123" si="47">IF(E$64="Покупка",1,0)</f>
        <v>1</v>
      </c>
      <c r="F123" s="35">
        <f t="shared" si="47"/>
        <v>1</v>
      </c>
      <c r="G123" s="35">
        <f t="shared" si="47"/>
        <v>1</v>
      </c>
      <c r="H123" s="35">
        <f t="shared" si="47"/>
        <v>1</v>
      </c>
      <c r="I123" s="35">
        <f t="shared" si="47"/>
        <v>1</v>
      </c>
      <c r="J123" s="35">
        <f t="shared" si="47"/>
        <v>1</v>
      </c>
      <c r="K123" s="35">
        <f t="shared" si="47"/>
        <v>1</v>
      </c>
      <c r="L123" s="35">
        <f t="shared" si="47"/>
        <v>0</v>
      </c>
      <c r="M123" s="35">
        <f t="shared" si="47"/>
        <v>0</v>
      </c>
      <c r="N123" s="35">
        <f t="shared" si="47"/>
        <v>0</v>
      </c>
      <c r="O123" s="35">
        <f t="shared" si="47"/>
        <v>0</v>
      </c>
      <c r="P123" s="35">
        <f t="shared" si="47"/>
        <v>0</v>
      </c>
      <c r="Q123" s="35">
        <f t="shared" si="47"/>
        <v>0</v>
      </c>
      <c r="R123" s="35">
        <f t="shared" si="47"/>
        <v>0</v>
      </c>
      <c r="S123" s="35">
        <f t="shared" si="47"/>
        <v>1</v>
      </c>
      <c r="T123" s="35">
        <f t="shared" si="47"/>
        <v>1</v>
      </c>
      <c r="U123" s="35">
        <f t="shared" si="47"/>
        <v>1</v>
      </c>
      <c r="V123" s="35">
        <f t="shared" si="47"/>
        <v>1</v>
      </c>
      <c r="W123" s="35">
        <f t="shared" si="47"/>
        <v>1</v>
      </c>
      <c r="X123" s="35">
        <f t="shared" si="47"/>
        <v>1</v>
      </c>
      <c r="Y123" s="35">
        <f t="shared" si="47"/>
        <v>1</v>
      </c>
    </row>
    <row r="124" spans="1:25" x14ac:dyDescent="0.2">
      <c r="A124" s="8" t="s">
        <v>577</v>
      </c>
      <c r="B124" s="6" t="s">
        <v>578</v>
      </c>
      <c r="C124" s="6" t="s">
        <v>51</v>
      </c>
      <c r="D124" s="8" t="s">
        <v>579</v>
      </c>
      <c r="E124" s="119">
        <f t="shared" ref="E124:Y124" si="48">E113*E75*E123</f>
        <v>32400000</v>
      </c>
      <c r="F124" s="34">
        <f t="shared" si="48"/>
        <v>51600000</v>
      </c>
      <c r="G124" s="34">
        <f t="shared" si="48"/>
        <v>77400000</v>
      </c>
      <c r="H124" s="34">
        <f t="shared" si="48"/>
        <v>51600000</v>
      </c>
      <c r="I124" s="34">
        <f t="shared" si="48"/>
        <v>77400000</v>
      </c>
      <c r="J124" s="34">
        <f t="shared" si="48"/>
        <v>64500000</v>
      </c>
      <c r="K124" s="34">
        <f t="shared" si="48"/>
        <v>64500000</v>
      </c>
      <c r="L124" s="34">
        <f t="shared" si="48"/>
        <v>0</v>
      </c>
      <c r="M124" s="34">
        <f t="shared" si="48"/>
        <v>0</v>
      </c>
      <c r="N124" s="34">
        <f t="shared" si="48"/>
        <v>0</v>
      </c>
      <c r="O124" s="34">
        <f t="shared" si="48"/>
        <v>0</v>
      </c>
      <c r="P124" s="34">
        <f t="shared" si="48"/>
        <v>0</v>
      </c>
      <c r="Q124" s="34">
        <f t="shared" si="48"/>
        <v>0</v>
      </c>
      <c r="R124" s="34">
        <f t="shared" si="48"/>
        <v>0</v>
      </c>
      <c r="S124" s="34">
        <f t="shared" si="48"/>
        <v>32400000</v>
      </c>
      <c r="T124" s="34">
        <f t="shared" si="48"/>
        <v>25920000</v>
      </c>
      <c r="U124" s="34">
        <f t="shared" si="48"/>
        <v>38880000</v>
      </c>
      <c r="V124" s="34">
        <f t="shared" si="48"/>
        <v>24300000</v>
      </c>
      <c r="W124" s="34">
        <f t="shared" si="48"/>
        <v>37800000</v>
      </c>
      <c r="X124" s="34">
        <f t="shared" si="48"/>
        <v>32400000</v>
      </c>
      <c r="Y124" s="34">
        <f t="shared" si="48"/>
        <v>32400000</v>
      </c>
    </row>
    <row r="125" spans="1:25" x14ac:dyDescent="0.2">
      <c r="A125" s="8" t="s">
        <v>580</v>
      </c>
      <c r="B125" s="6" t="s">
        <v>581</v>
      </c>
      <c r="C125" s="6" t="s">
        <v>51</v>
      </c>
      <c r="D125" s="8" t="s">
        <v>582</v>
      </c>
      <c r="E125" s="119">
        <f t="shared" ref="E125:Y125" si="49">E114*N_charger_price*E123</f>
        <v>6000</v>
      </c>
      <c r="F125" s="34">
        <f t="shared" si="49"/>
        <v>8000</v>
      </c>
      <c r="G125" s="34">
        <f t="shared" si="49"/>
        <v>8000</v>
      </c>
      <c r="H125" s="34">
        <f t="shared" si="49"/>
        <v>6000</v>
      </c>
      <c r="I125" s="34">
        <f t="shared" si="49"/>
        <v>9000</v>
      </c>
      <c r="J125" s="34">
        <f t="shared" si="49"/>
        <v>8000</v>
      </c>
      <c r="K125" s="34">
        <f t="shared" si="49"/>
        <v>8000</v>
      </c>
      <c r="L125" s="34">
        <f t="shared" si="49"/>
        <v>0</v>
      </c>
      <c r="M125" s="34">
        <f t="shared" si="49"/>
        <v>0</v>
      </c>
      <c r="N125" s="34">
        <f t="shared" si="49"/>
        <v>0</v>
      </c>
      <c r="O125" s="34">
        <f t="shared" si="49"/>
        <v>0</v>
      </c>
      <c r="P125" s="34">
        <f t="shared" si="49"/>
        <v>0</v>
      </c>
      <c r="Q125" s="34">
        <f t="shared" si="49"/>
        <v>0</v>
      </c>
      <c r="R125" s="34">
        <f t="shared" si="49"/>
        <v>0</v>
      </c>
      <c r="S125" s="34">
        <f t="shared" si="49"/>
        <v>6000</v>
      </c>
      <c r="T125" s="34">
        <f t="shared" si="49"/>
        <v>6000</v>
      </c>
      <c r="U125" s="34">
        <f t="shared" si="49"/>
        <v>6000</v>
      </c>
      <c r="V125" s="34">
        <f t="shared" si="49"/>
        <v>5000</v>
      </c>
      <c r="W125" s="34">
        <f t="shared" si="49"/>
        <v>7000</v>
      </c>
      <c r="X125" s="34">
        <f t="shared" si="49"/>
        <v>6000</v>
      </c>
      <c r="Y125" s="34">
        <f t="shared" si="49"/>
        <v>6000</v>
      </c>
    </row>
    <row r="126" spans="1:25" ht="28" x14ac:dyDescent="0.2">
      <c r="A126" s="8" t="s">
        <v>583</v>
      </c>
      <c r="B126" s="6" t="s">
        <v>584</v>
      </c>
      <c r="C126" s="6" t="s">
        <v>51</v>
      </c>
      <c r="D126" s="8" t="s">
        <v>585</v>
      </c>
      <c r="E126" s="119">
        <f t="shared" ref="E126:Y126" si="50">E113*E75*Skl_site_pct</f>
        <v>1620000</v>
      </c>
      <c r="F126" s="34">
        <f t="shared" si="50"/>
        <v>2580000</v>
      </c>
      <c r="G126" s="34">
        <f t="shared" si="50"/>
        <v>3870000</v>
      </c>
      <c r="H126" s="34">
        <f t="shared" si="50"/>
        <v>2580000</v>
      </c>
      <c r="I126" s="34">
        <f t="shared" si="50"/>
        <v>3870000</v>
      </c>
      <c r="J126" s="34">
        <f t="shared" si="50"/>
        <v>3225000</v>
      </c>
      <c r="K126" s="34">
        <f t="shared" si="50"/>
        <v>3225000</v>
      </c>
      <c r="L126" s="34">
        <f t="shared" si="50"/>
        <v>3225000</v>
      </c>
      <c r="M126" s="34">
        <f t="shared" si="50"/>
        <v>2580000</v>
      </c>
      <c r="N126" s="34">
        <f t="shared" si="50"/>
        <v>3870000</v>
      </c>
      <c r="O126" s="34">
        <f t="shared" si="50"/>
        <v>2580000</v>
      </c>
      <c r="P126" s="34">
        <f t="shared" si="50"/>
        <v>3870000</v>
      </c>
      <c r="Q126" s="34">
        <f t="shared" si="50"/>
        <v>3225000</v>
      </c>
      <c r="R126" s="34">
        <f t="shared" si="50"/>
        <v>3225000</v>
      </c>
      <c r="S126" s="34">
        <f t="shared" si="50"/>
        <v>1620000</v>
      </c>
      <c r="T126" s="34">
        <f t="shared" si="50"/>
        <v>1296000</v>
      </c>
      <c r="U126" s="34">
        <f t="shared" si="50"/>
        <v>1944000</v>
      </c>
      <c r="V126" s="34">
        <f t="shared" si="50"/>
        <v>1215000</v>
      </c>
      <c r="W126" s="34">
        <f t="shared" si="50"/>
        <v>1890000</v>
      </c>
      <c r="X126" s="34">
        <f t="shared" si="50"/>
        <v>1620000</v>
      </c>
      <c r="Y126" s="34">
        <f t="shared" si="50"/>
        <v>1620000</v>
      </c>
    </row>
    <row r="127" spans="1:25" x14ac:dyDescent="0.2">
      <c r="A127" s="8" t="s">
        <v>586</v>
      </c>
      <c r="B127" s="6" t="s">
        <v>587</v>
      </c>
      <c r="C127" s="6" t="s">
        <v>51</v>
      </c>
      <c r="D127" s="8" t="s">
        <v>588</v>
      </c>
      <c r="E127" s="119">
        <f t="shared" ref="E127:Y127" si="51">E124*N_sw_pct</f>
        <v>3240000</v>
      </c>
      <c r="F127" s="34">
        <f t="shared" si="51"/>
        <v>5160000</v>
      </c>
      <c r="G127" s="34">
        <f t="shared" si="51"/>
        <v>7740000</v>
      </c>
      <c r="H127" s="34">
        <f t="shared" si="51"/>
        <v>5160000</v>
      </c>
      <c r="I127" s="34">
        <f t="shared" si="51"/>
        <v>7740000</v>
      </c>
      <c r="J127" s="34">
        <f t="shared" si="51"/>
        <v>6450000</v>
      </c>
      <c r="K127" s="34">
        <f t="shared" si="51"/>
        <v>6450000</v>
      </c>
      <c r="L127" s="34">
        <f t="shared" si="51"/>
        <v>0</v>
      </c>
      <c r="M127" s="34">
        <f t="shared" si="51"/>
        <v>0</v>
      </c>
      <c r="N127" s="34">
        <f t="shared" si="51"/>
        <v>0</v>
      </c>
      <c r="O127" s="34">
        <f t="shared" si="51"/>
        <v>0</v>
      </c>
      <c r="P127" s="34">
        <f t="shared" si="51"/>
        <v>0</v>
      </c>
      <c r="Q127" s="34">
        <f t="shared" si="51"/>
        <v>0</v>
      </c>
      <c r="R127" s="34">
        <f t="shared" si="51"/>
        <v>0</v>
      </c>
      <c r="S127" s="34">
        <f t="shared" si="51"/>
        <v>3240000</v>
      </c>
      <c r="T127" s="34">
        <f t="shared" si="51"/>
        <v>2592000</v>
      </c>
      <c r="U127" s="34">
        <f t="shared" si="51"/>
        <v>3888000</v>
      </c>
      <c r="V127" s="34">
        <f t="shared" si="51"/>
        <v>2430000</v>
      </c>
      <c r="W127" s="34">
        <f t="shared" si="51"/>
        <v>3780000</v>
      </c>
      <c r="X127" s="34">
        <f t="shared" si="51"/>
        <v>3240000</v>
      </c>
      <c r="Y127" s="34">
        <f t="shared" si="51"/>
        <v>3240000</v>
      </c>
    </row>
    <row r="128" spans="1:25" x14ac:dyDescent="0.2">
      <c r="A128" s="8" t="s">
        <v>589</v>
      </c>
      <c r="B128" s="6" t="s">
        <v>590</v>
      </c>
      <c r="C128" s="6" t="s">
        <v>51</v>
      </c>
      <c r="D128" s="8" t="s">
        <v>591</v>
      </c>
      <c r="E128" s="119">
        <f t="shared" ref="E128:Y128" si="52">Skl_integration*IF(E113&gt;0,1,0)</f>
        <v>0</v>
      </c>
      <c r="F128" s="34">
        <f t="shared" si="52"/>
        <v>0</v>
      </c>
      <c r="G128" s="34">
        <f t="shared" si="52"/>
        <v>0</v>
      </c>
      <c r="H128" s="34">
        <f t="shared" si="52"/>
        <v>0</v>
      </c>
      <c r="I128" s="34">
        <f t="shared" si="52"/>
        <v>0</v>
      </c>
      <c r="J128" s="34">
        <f t="shared" si="52"/>
        <v>0</v>
      </c>
      <c r="K128" s="34">
        <f t="shared" si="52"/>
        <v>0</v>
      </c>
      <c r="L128" s="34">
        <f t="shared" si="52"/>
        <v>0</v>
      </c>
      <c r="M128" s="34">
        <f t="shared" si="52"/>
        <v>0</v>
      </c>
      <c r="N128" s="34">
        <f t="shared" si="52"/>
        <v>0</v>
      </c>
      <c r="O128" s="34">
        <f t="shared" si="52"/>
        <v>0</v>
      </c>
      <c r="P128" s="34">
        <f t="shared" si="52"/>
        <v>0</v>
      </c>
      <c r="Q128" s="34">
        <f t="shared" si="52"/>
        <v>0</v>
      </c>
      <c r="R128" s="34">
        <f t="shared" si="52"/>
        <v>0</v>
      </c>
      <c r="S128" s="34">
        <f t="shared" si="52"/>
        <v>0</v>
      </c>
      <c r="T128" s="34">
        <f t="shared" si="52"/>
        <v>0</v>
      </c>
      <c r="U128" s="34">
        <f t="shared" si="52"/>
        <v>0</v>
      </c>
      <c r="V128" s="34">
        <f t="shared" si="52"/>
        <v>0</v>
      </c>
      <c r="W128" s="34">
        <f t="shared" si="52"/>
        <v>0</v>
      </c>
      <c r="X128" s="34">
        <f t="shared" si="52"/>
        <v>0</v>
      </c>
      <c r="Y128" s="34">
        <f t="shared" si="52"/>
        <v>0</v>
      </c>
    </row>
    <row r="129" spans="1:25" x14ac:dyDescent="0.2">
      <c r="A129" s="8" t="s">
        <v>592</v>
      </c>
      <c r="B129" s="6" t="s">
        <v>593</v>
      </c>
      <c r="C129" s="6" t="s">
        <v>51</v>
      </c>
      <c r="D129" s="8" t="s">
        <v>594</v>
      </c>
      <c r="E129" s="119">
        <f t="shared" ref="E129:Y129" si="53">E124*N_delivery_pct</f>
        <v>1620000</v>
      </c>
      <c r="F129" s="34">
        <f t="shared" si="53"/>
        <v>2580000</v>
      </c>
      <c r="G129" s="34">
        <f t="shared" si="53"/>
        <v>3870000</v>
      </c>
      <c r="H129" s="34">
        <f t="shared" si="53"/>
        <v>2580000</v>
      </c>
      <c r="I129" s="34">
        <f t="shared" si="53"/>
        <v>3870000</v>
      </c>
      <c r="J129" s="34">
        <f t="shared" si="53"/>
        <v>3225000</v>
      </c>
      <c r="K129" s="34">
        <f t="shared" si="53"/>
        <v>3225000</v>
      </c>
      <c r="L129" s="34">
        <f t="shared" si="53"/>
        <v>0</v>
      </c>
      <c r="M129" s="34">
        <f t="shared" si="53"/>
        <v>0</v>
      </c>
      <c r="N129" s="34">
        <f t="shared" si="53"/>
        <v>0</v>
      </c>
      <c r="O129" s="34">
        <f t="shared" si="53"/>
        <v>0</v>
      </c>
      <c r="P129" s="34">
        <f t="shared" si="53"/>
        <v>0</v>
      </c>
      <c r="Q129" s="34">
        <f t="shared" si="53"/>
        <v>0</v>
      </c>
      <c r="R129" s="34">
        <f t="shared" si="53"/>
        <v>0</v>
      </c>
      <c r="S129" s="34">
        <f t="shared" si="53"/>
        <v>1620000</v>
      </c>
      <c r="T129" s="34">
        <f t="shared" si="53"/>
        <v>1296000</v>
      </c>
      <c r="U129" s="34">
        <f t="shared" si="53"/>
        <v>1944000</v>
      </c>
      <c r="V129" s="34">
        <f t="shared" si="53"/>
        <v>1215000</v>
      </c>
      <c r="W129" s="34">
        <f t="shared" si="53"/>
        <v>1890000</v>
      </c>
      <c r="X129" s="34">
        <f t="shared" si="53"/>
        <v>1620000</v>
      </c>
      <c r="Y129" s="34">
        <f t="shared" si="53"/>
        <v>1620000</v>
      </c>
    </row>
    <row r="130" spans="1:25" ht="28" customHeight="1" x14ac:dyDescent="0.2">
      <c r="A130" s="8" t="s">
        <v>595</v>
      </c>
      <c r="B130" s="6" t="s">
        <v>596</v>
      </c>
      <c r="C130" s="6" t="s">
        <v>51</v>
      </c>
      <c r="D130" s="8" t="s">
        <v>597</v>
      </c>
      <c r="E130" s="119">
        <f>E124*N_pnr_pct+(1-E123)*E113*E75*N_raas_setup</f>
        <v>3240000</v>
      </c>
      <c r="F130" s="34">
        <f t="shared" ref="E130:Y130" si="54">F124*N_pnr_pct+(1-F123)*F113*F75*N_raas_setup</f>
        <v>5160000</v>
      </c>
      <c r="G130" s="34">
        <f t="shared" si="54"/>
        <v>7740000</v>
      </c>
      <c r="H130" s="34">
        <f t="shared" si="54"/>
        <v>5160000</v>
      </c>
      <c r="I130" s="34">
        <f t="shared" si="54"/>
        <v>7740000</v>
      </c>
      <c r="J130" s="34">
        <f t="shared" si="54"/>
        <v>6450000</v>
      </c>
      <c r="K130" s="34">
        <f t="shared" si="54"/>
        <v>6450000</v>
      </c>
      <c r="L130" s="34">
        <f t="shared" si="54"/>
        <v>6450000</v>
      </c>
      <c r="M130" s="34">
        <f t="shared" si="54"/>
        <v>5160000</v>
      </c>
      <c r="N130" s="34">
        <f t="shared" si="54"/>
        <v>7740000</v>
      </c>
      <c r="O130" s="34">
        <f t="shared" si="54"/>
        <v>5160000</v>
      </c>
      <c r="P130" s="34">
        <f t="shared" si="54"/>
        <v>7740000</v>
      </c>
      <c r="Q130" s="34">
        <f t="shared" si="54"/>
        <v>6450000</v>
      </c>
      <c r="R130" s="34">
        <f t="shared" si="54"/>
        <v>6450000</v>
      </c>
      <c r="S130" s="34">
        <f t="shared" si="54"/>
        <v>3240000</v>
      </c>
      <c r="T130" s="34">
        <f t="shared" si="54"/>
        <v>2592000</v>
      </c>
      <c r="U130" s="34">
        <f t="shared" si="54"/>
        <v>3888000</v>
      </c>
      <c r="V130" s="34">
        <f t="shared" si="54"/>
        <v>2430000</v>
      </c>
      <c r="W130" s="34">
        <f t="shared" si="54"/>
        <v>3780000</v>
      </c>
      <c r="X130" s="34">
        <f t="shared" si="54"/>
        <v>3240000</v>
      </c>
      <c r="Y130" s="34">
        <f t="shared" si="54"/>
        <v>3240000</v>
      </c>
    </row>
    <row r="131" spans="1:25" x14ac:dyDescent="0.2">
      <c r="A131" s="8" t="s">
        <v>598</v>
      </c>
      <c r="B131" s="6" t="s">
        <v>599</v>
      </c>
      <c r="C131" s="6" t="s">
        <v>51</v>
      </c>
      <c r="D131" s="8" t="s">
        <v>600</v>
      </c>
      <c r="E131" s="119">
        <f t="shared" ref="E131:Y131" si="55">N_training*IF(E113&gt;0,1,0)</f>
        <v>500</v>
      </c>
      <c r="F131" s="34">
        <f t="shared" si="55"/>
        <v>500</v>
      </c>
      <c r="G131" s="34">
        <f t="shared" si="55"/>
        <v>500</v>
      </c>
      <c r="H131" s="34">
        <f t="shared" si="55"/>
        <v>500</v>
      </c>
      <c r="I131" s="34">
        <f t="shared" si="55"/>
        <v>500</v>
      </c>
      <c r="J131" s="34">
        <f t="shared" si="55"/>
        <v>500</v>
      </c>
      <c r="K131" s="34">
        <f t="shared" si="55"/>
        <v>500</v>
      </c>
      <c r="L131" s="34">
        <f t="shared" si="55"/>
        <v>500</v>
      </c>
      <c r="M131" s="34">
        <f t="shared" si="55"/>
        <v>500</v>
      </c>
      <c r="N131" s="34">
        <f t="shared" si="55"/>
        <v>500</v>
      </c>
      <c r="O131" s="34">
        <f t="shared" si="55"/>
        <v>500</v>
      </c>
      <c r="P131" s="34">
        <f t="shared" si="55"/>
        <v>500</v>
      </c>
      <c r="Q131" s="34">
        <f t="shared" si="55"/>
        <v>500</v>
      </c>
      <c r="R131" s="34">
        <f t="shared" si="55"/>
        <v>500</v>
      </c>
      <c r="S131" s="34">
        <f t="shared" si="55"/>
        <v>500</v>
      </c>
      <c r="T131" s="34">
        <f t="shared" si="55"/>
        <v>500</v>
      </c>
      <c r="U131" s="34">
        <f t="shared" si="55"/>
        <v>500</v>
      </c>
      <c r="V131" s="34">
        <f t="shared" si="55"/>
        <v>500</v>
      </c>
      <c r="W131" s="34">
        <f t="shared" si="55"/>
        <v>500</v>
      </c>
      <c r="X131" s="34">
        <f t="shared" si="55"/>
        <v>500</v>
      </c>
      <c r="Y131" s="34">
        <f t="shared" si="55"/>
        <v>500</v>
      </c>
    </row>
    <row r="132" spans="1:25" ht="39" x14ac:dyDescent="0.2">
      <c r="A132" s="8" t="s">
        <v>601</v>
      </c>
      <c r="B132" s="6" t="s">
        <v>602</v>
      </c>
      <c r="C132" s="6" t="s">
        <v>51</v>
      </c>
      <c r="D132" s="8" t="s">
        <v>603</v>
      </c>
      <c r="E132" s="119">
        <f t="shared" ref="E132:Y132" si="56">E124+E125+E126+E127+E128+E129+E130+E131</f>
        <v>42126500</v>
      </c>
      <c r="F132" s="34">
        <f t="shared" si="56"/>
        <v>67088500</v>
      </c>
      <c r="G132" s="34">
        <f t="shared" si="56"/>
        <v>100628500</v>
      </c>
      <c r="H132" s="34">
        <f t="shared" si="56"/>
        <v>67086500</v>
      </c>
      <c r="I132" s="34">
        <f t="shared" si="56"/>
        <v>100629500</v>
      </c>
      <c r="J132" s="34">
        <f t="shared" si="56"/>
        <v>83858500</v>
      </c>
      <c r="K132" s="34">
        <f t="shared" si="56"/>
        <v>83858500</v>
      </c>
      <c r="L132" s="34">
        <f t="shared" si="56"/>
        <v>9675500</v>
      </c>
      <c r="M132" s="34">
        <f t="shared" si="56"/>
        <v>7740500</v>
      </c>
      <c r="N132" s="34">
        <f t="shared" si="56"/>
        <v>11610500</v>
      </c>
      <c r="O132" s="34">
        <f t="shared" si="56"/>
        <v>7740500</v>
      </c>
      <c r="P132" s="34">
        <f t="shared" si="56"/>
        <v>11610500</v>
      </c>
      <c r="Q132" s="34">
        <f t="shared" si="56"/>
        <v>9675500</v>
      </c>
      <c r="R132" s="34">
        <f t="shared" si="56"/>
        <v>9675500</v>
      </c>
      <c r="S132" s="34">
        <f t="shared" si="56"/>
        <v>42126500</v>
      </c>
      <c r="T132" s="34">
        <f t="shared" si="56"/>
        <v>33702500</v>
      </c>
      <c r="U132" s="34">
        <f t="shared" si="56"/>
        <v>50550500</v>
      </c>
      <c r="V132" s="34">
        <f t="shared" si="56"/>
        <v>31595500</v>
      </c>
      <c r="W132" s="34">
        <f t="shared" si="56"/>
        <v>49147500</v>
      </c>
      <c r="X132" s="34">
        <f t="shared" si="56"/>
        <v>42126500</v>
      </c>
      <c r="Y132" s="34">
        <f t="shared" si="56"/>
        <v>42126500</v>
      </c>
    </row>
    <row r="133" spans="1:25" x14ac:dyDescent="0.2">
      <c r="A133" s="8" t="s">
        <v>604</v>
      </c>
      <c r="B133" s="6" t="s">
        <v>605</v>
      </c>
      <c r="C133" s="6" t="s">
        <v>51</v>
      </c>
      <c r="D133" s="8" t="s">
        <v>606</v>
      </c>
      <c r="E133" s="119">
        <f t="shared" ref="E133:Y133" si="57">E132*N_capex_reserve</f>
        <v>4212650</v>
      </c>
      <c r="F133" s="34">
        <f t="shared" si="57"/>
        <v>6708850</v>
      </c>
      <c r="G133" s="34">
        <f t="shared" si="57"/>
        <v>10062850</v>
      </c>
      <c r="H133" s="34">
        <f t="shared" si="57"/>
        <v>6708650</v>
      </c>
      <c r="I133" s="34">
        <f t="shared" si="57"/>
        <v>10062950</v>
      </c>
      <c r="J133" s="34">
        <f t="shared" si="57"/>
        <v>8385850</v>
      </c>
      <c r="K133" s="34">
        <f t="shared" si="57"/>
        <v>8385850</v>
      </c>
      <c r="L133" s="34">
        <f t="shared" si="57"/>
        <v>967550</v>
      </c>
      <c r="M133" s="34">
        <f t="shared" si="57"/>
        <v>774050</v>
      </c>
      <c r="N133" s="34">
        <f t="shared" si="57"/>
        <v>1161050</v>
      </c>
      <c r="O133" s="34">
        <f t="shared" si="57"/>
        <v>774050</v>
      </c>
      <c r="P133" s="34">
        <f t="shared" si="57"/>
        <v>1161050</v>
      </c>
      <c r="Q133" s="34">
        <f t="shared" si="57"/>
        <v>967550</v>
      </c>
      <c r="R133" s="34">
        <f t="shared" si="57"/>
        <v>967550</v>
      </c>
      <c r="S133" s="34">
        <f t="shared" si="57"/>
        <v>4212650</v>
      </c>
      <c r="T133" s="34">
        <f t="shared" si="57"/>
        <v>3370250</v>
      </c>
      <c r="U133" s="34">
        <f t="shared" si="57"/>
        <v>5055050</v>
      </c>
      <c r="V133" s="34">
        <f t="shared" si="57"/>
        <v>3159550</v>
      </c>
      <c r="W133" s="34">
        <f t="shared" si="57"/>
        <v>4914750</v>
      </c>
      <c r="X133" s="34">
        <f t="shared" si="57"/>
        <v>4212650</v>
      </c>
      <c r="Y133" s="34">
        <f t="shared" si="57"/>
        <v>4212650</v>
      </c>
    </row>
    <row r="134" spans="1:25" x14ac:dyDescent="0.2">
      <c r="A134" s="8" t="s">
        <v>607</v>
      </c>
      <c r="B134" s="37" t="s">
        <v>608</v>
      </c>
      <c r="C134" s="6" t="s">
        <v>51</v>
      </c>
      <c r="D134" s="8" t="s">
        <v>609</v>
      </c>
      <c r="E134" s="120">
        <f t="shared" ref="E134:Y134" si="58">E132+E133</f>
        <v>46339150</v>
      </c>
      <c r="F134" s="41">
        <f t="shared" si="58"/>
        <v>73797350</v>
      </c>
      <c r="G134" s="41">
        <f t="shared" si="58"/>
        <v>110691350</v>
      </c>
      <c r="H134" s="41">
        <f t="shared" si="58"/>
        <v>73795150</v>
      </c>
      <c r="I134" s="41">
        <f t="shared" si="58"/>
        <v>110692450</v>
      </c>
      <c r="J134" s="41">
        <f t="shared" si="58"/>
        <v>92244350</v>
      </c>
      <c r="K134" s="41">
        <f t="shared" si="58"/>
        <v>92244350</v>
      </c>
      <c r="L134" s="41">
        <f t="shared" si="58"/>
        <v>10643050</v>
      </c>
      <c r="M134" s="41">
        <f t="shared" si="58"/>
        <v>8514550</v>
      </c>
      <c r="N134" s="41">
        <f t="shared" si="58"/>
        <v>12771550</v>
      </c>
      <c r="O134" s="41">
        <f t="shared" si="58"/>
        <v>8514550</v>
      </c>
      <c r="P134" s="41">
        <f t="shared" si="58"/>
        <v>12771550</v>
      </c>
      <c r="Q134" s="41">
        <f t="shared" si="58"/>
        <v>10643050</v>
      </c>
      <c r="R134" s="41">
        <f t="shared" si="58"/>
        <v>10643050</v>
      </c>
      <c r="S134" s="41">
        <f t="shared" si="58"/>
        <v>46339150</v>
      </c>
      <c r="T134" s="41">
        <f t="shared" si="58"/>
        <v>37072750</v>
      </c>
      <c r="U134" s="41">
        <f t="shared" si="58"/>
        <v>55605550</v>
      </c>
      <c r="V134" s="41">
        <f t="shared" si="58"/>
        <v>34755050</v>
      </c>
      <c r="W134" s="41">
        <f t="shared" si="58"/>
        <v>54062250</v>
      </c>
      <c r="X134" s="41">
        <f t="shared" si="58"/>
        <v>46339150</v>
      </c>
      <c r="Y134" s="41">
        <f t="shared" si="58"/>
        <v>46339150</v>
      </c>
    </row>
    <row r="135" spans="1:25" ht="26" x14ac:dyDescent="0.2">
      <c r="A135" s="8" t="s">
        <v>610</v>
      </c>
      <c r="B135" s="6" t="s">
        <v>611</v>
      </c>
      <c r="C135" s="6"/>
      <c r="D135" s="8" t="s">
        <v>612</v>
      </c>
      <c r="E135" s="6" t="str">
        <f t="shared" ref="E135:Y135" si="59">IF(E134&lt;=Skl_budget*1000000,"В бюджете","Превышает бюджет")</f>
        <v>В бюджете</v>
      </c>
      <c r="F135" s="6" t="str">
        <f t="shared" si="59"/>
        <v>В бюджете</v>
      </c>
      <c r="G135" s="6" t="str">
        <f t="shared" si="59"/>
        <v>Превышает бюджет</v>
      </c>
      <c r="H135" s="6" t="str">
        <f t="shared" si="59"/>
        <v>В бюджете</v>
      </c>
      <c r="I135" s="6" t="str">
        <f t="shared" si="59"/>
        <v>Превышает бюджет</v>
      </c>
      <c r="J135" s="6" t="str">
        <f t="shared" si="59"/>
        <v>Превышает бюджет</v>
      </c>
      <c r="K135" s="6" t="str">
        <f t="shared" si="59"/>
        <v>Превышает бюджет</v>
      </c>
      <c r="L135" s="6" t="str">
        <f t="shared" si="59"/>
        <v>В бюджете</v>
      </c>
      <c r="M135" s="6" t="str">
        <f t="shared" si="59"/>
        <v>В бюджете</v>
      </c>
      <c r="N135" s="6" t="str">
        <f t="shared" si="59"/>
        <v>В бюджете</v>
      </c>
      <c r="O135" s="6" t="str">
        <f t="shared" si="59"/>
        <v>В бюджете</v>
      </c>
      <c r="P135" s="6" t="str">
        <f t="shared" si="59"/>
        <v>В бюджете</v>
      </c>
      <c r="Q135" s="6" t="str">
        <f t="shared" si="59"/>
        <v>В бюджете</v>
      </c>
      <c r="R135" s="6" t="str">
        <f t="shared" si="59"/>
        <v>В бюджете</v>
      </c>
      <c r="S135" s="6" t="str">
        <f t="shared" si="59"/>
        <v>В бюджете</v>
      </c>
      <c r="T135" s="6" t="str">
        <f t="shared" si="59"/>
        <v>В бюджете</v>
      </c>
      <c r="U135" s="6" t="str">
        <f t="shared" si="59"/>
        <v>В бюджете</v>
      </c>
      <c r="V135" s="6" t="str">
        <f t="shared" si="59"/>
        <v>В бюджете</v>
      </c>
      <c r="W135" s="6" t="str">
        <f t="shared" si="59"/>
        <v>В бюджете</v>
      </c>
      <c r="X135" s="6" t="str">
        <f t="shared" si="59"/>
        <v>В бюджете</v>
      </c>
      <c r="Y135" s="6" t="str">
        <f t="shared" si="59"/>
        <v>В бюджете</v>
      </c>
    </row>
    <row r="136" spans="1:25" x14ac:dyDescent="0.2">
      <c r="A136" s="26"/>
      <c r="B136" s="27" t="s">
        <v>613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28" x14ac:dyDescent="0.2">
      <c r="A137" s="8" t="s">
        <v>614</v>
      </c>
      <c r="B137" s="6" t="s">
        <v>615</v>
      </c>
      <c r="C137" s="6" t="s">
        <v>91</v>
      </c>
      <c r="D137" s="8" t="s">
        <v>616</v>
      </c>
      <c r="E137" s="119">
        <f t="shared" ref="E137:Y137" si="60">(1-E123)*E113*E75*N_raas_pct*12</f>
        <v>0</v>
      </c>
      <c r="F137" s="34">
        <f t="shared" si="60"/>
        <v>0</v>
      </c>
      <c r="G137" s="34">
        <f t="shared" si="60"/>
        <v>0</v>
      </c>
      <c r="H137" s="34">
        <f t="shared" si="60"/>
        <v>0</v>
      </c>
      <c r="I137" s="34">
        <f t="shared" si="60"/>
        <v>0</v>
      </c>
      <c r="J137" s="34">
        <f t="shared" si="60"/>
        <v>0</v>
      </c>
      <c r="K137" s="34">
        <f t="shared" si="60"/>
        <v>0</v>
      </c>
      <c r="L137" s="34">
        <f t="shared" si="60"/>
        <v>15480000</v>
      </c>
      <c r="M137" s="34">
        <f t="shared" si="60"/>
        <v>12384000</v>
      </c>
      <c r="N137" s="34">
        <f t="shared" si="60"/>
        <v>18576000</v>
      </c>
      <c r="O137" s="34">
        <f t="shared" si="60"/>
        <v>12384000</v>
      </c>
      <c r="P137" s="34">
        <f t="shared" si="60"/>
        <v>18576000</v>
      </c>
      <c r="Q137" s="34">
        <f t="shared" si="60"/>
        <v>15480000</v>
      </c>
      <c r="R137" s="34">
        <f t="shared" si="60"/>
        <v>15480000</v>
      </c>
      <c r="S137" s="34">
        <f t="shared" si="60"/>
        <v>0</v>
      </c>
      <c r="T137" s="34">
        <f t="shared" si="60"/>
        <v>0</v>
      </c>
      <c r="U137" s="34">
        <f t="shared" si="60"/>
        <v>0</v>
      </c>
      <c r="V137" s="34">
        <f t="shared" si="60"/>
        <v>0</v>
      </c>
      <c r="W137" s="34">
        <f t="shared" si="60"/>
        <v>0</v>
      </c>
      <c r="X137" s="34">
        <f t="shared" si="60"/>
        <v>0</v>
      </c>
      <c r="Y137" s="34">
        <f t="shared" si="60"/>
        <v>0</v>
      </c>
    </row>
    <row r="138" spans="1:25" x14ac:dyDescent="0.2">
      <c r="A138" s="8" t="s">
        <v>617</v>
      </c>
      <c r="B138" s="6" t="s">
        <v>618</v>
      </c>
      <c r="C138" s="6" t="s">
        <v>91</v>
      </c>
      <c r="D138" s="8" t="s">
        <v>619</v>
      </c>
      <c r="E138" s="119">
        <f t="shared" ref="E138:Y138" si="61">E123*E124*N_service_pct</f>
        <v>1620000</v>
      </c>
      <c r="F138" s="34">
        <f t="shared" si="61"/>
        <v>2580000</v>
      </c>
      <c r="G138" s="34">
        <f t="shared" si="61"/>
        <v>3870000</v>
      </c>
      <c r="H138" s="34">
        <f t="shared" si="61"/>
        <v>2580000</v>
      </c>
      <c r="I138" s="34">
        <f t="shared" si="61"/>
        <v>3870000</v>
      </c>
      <c r="J138" s="34">
        <f t="shared" si="61"/>
        <v>3225000</v>
      </c>
      <c r="K138" s="34">
        <f t="shared" si="61"/>
        <v>3225000</v>
      </c>
      <c r="L138" s="34">
        <f t="shared" si="61"/>
        <v>0</v>
      </c>
      <c r="M138" s="34">
        <f t="shared" si="61"/>
        <v>0</v>
      </c>
      <c r="N138" s="34">
        <f t="shared" si="61"/>
        <v>0</v>
      </c>
      <c r="O138" s="34">
        <f t="shared" si="61"/>
        <v>0</v>
      </c>
      <c r="P138" s="34">
        <f t="shared" si="61"/>
        <v>0</v>
      </c>
      <c r="Q138" s="34">
        <f t="shared" si="61"/>
        <v>0</v>
      </c>
      <c r="R138" s="34">
        <f t="shared" si="61"/>
        <v>0</v>
      </c>
      <c r="S138" s="34">
        <f t="shared" si="61"/>
        <v>1620000</v>
      </c>
      <c r="T138" s="34">
        <f t="shared" si="61"/>
        <v>1296000</v>
      </c>
      <c r="U138" s="34">
        <f t="shared" si="61"/>
        <v>1944000</v>
      </c>
      <c r="V138" s="34">
        <f t="shared" si="61"/>
        <v>1215000</v>
      </c>
      <c r="W138" s="34">
        <f t="shared" si="61"/>
        <v>1890000</v>
      </c>
      <c r="X138" s="34">
        <f t="shared" si="61"/>
        <v>1620000</v>
      </c>
      <c r="Y138" s="34">
        <f t="shared" si="61"/>
        <v>1620000</v>
      </c>
    </row>
    <row r="139" spans="1:25" x14ac:dyDescent="0.2">
      <c r="A139" s="8" t="s">
        <v>620</v>
      </c>
      <c r="B139" s="6" t="s">
        <v>621</v>
      </c>
      <c r="C139" s="6" t="s">
        <v>91</v>
      </c>
      <c r="D139" s="8" t="s">
        <v>622</v>
      </c>
      <c r="E139" s="119">
        <f t="shared" ref="E139:Y139" si="62">E123*E124*N_license_pct</f>
        <v>648000</v>
      </c>
      <c r="F139" s="34">
        <f t="shared" si="62"/>
        <v>1032000</v>
      </c>
      <c r="G139" s="34">
        <f t="shared" si="62"/>
        <v>1548000</v>
      </c>
      <c r="H139" s="34">
        <f t="shared" si="62"/>
        <v>1032000</v>
      </c>
      <c r="I139" s="34">
        <f t="shared" si="62"/>
        <v>1548000</v>
      </c>
      <c r="J139" s="34">
        <f t="shared" si="62"/>
        <v>1290000</v>
      </c>
      <c r="K139" s="34">
        <f t="shared" si="62"/>
        <v>1290000</v>
      </c>
      <c r="L139" s="34">
        <f t="shared" si="62"/>
        <v>0</v>
      </c>
      <c r="M139" s="34">
        <f t="shared" si="62"/>
        <v>0</v>
      </c>
      <c r="N139" s="34">
        <f t="shared" si="62"/>
        <v>0</v>
      </c>
      <c r="O139" s="34">
        <f t="shared" si="62"/>
        <v>0</v>
      </c>
      <c r="P139" s="34">
        <f t="shared" si="62"/>
        <v>0</v>
      </c>
      <c r="Q139" s="34">
        <f t="shared" si="62"/>
        <v>0</v>
      </c>
      <c r="R139" s="34">
        <f t="shared" si="62"/>
        <v>0</v>
      </c>
      <c r="S139" s="34">
        <f t="shared" si="62"/>
        <v>648000</v>
      </c>
      <c r="T139" s="34">
        <f t="shared" si="62"/>
        <v>518400</v>
      </c>
      <c r="U139" s="34">
        <f t="shared" si="62"/>
        <v>777600</v>
      </c>
      <c r="V139" s="34">
        <f t="shared" si="62"/>
        <v>486000</v>
      </c>
      <c r="W139" s="34">
        <f t="shared" si="62"/>
        <v>756000</v>
      </c>
      <c r="X139" s="34">
        <f t="shared" si="62"/>
        <v>648000</v>
      </c>
      <c r="Y139" s="34">
        <f t="shared" si="62"/>
        <v>648000</v>
      </c>
    </row>
    <row r="140" spans="1:25" x14ac:dyDescent="0.2">
      <c r="A140" s="8" t="s">
        <v>623</v>
      </c>
      <c r="B140" s="6" t="s">
        <v>624</v>
      </c>
      <c r="C140" s="6" t="s">
        <v>91</v>
      </c>
      <c r="D140" s="8" t="s">
        <v>625</v>
      </c>
      <c r="E140" s="119">
        <f t="shared" ref="E140:Y140" si="63">E123*E124*N_repair_pct</f>
        <v>972000</v>
      </c>
      <c r="F140" s="34">
        <f t="shared" si="63"/>
        <v>1548000</v>
      </c>
      <c r="G140" s="34">
        <f t="shared" si="63"/>
        <v>2322000</v>
      </c>
      <c r="H140" s="34">
        <f t="shared" si="63"/>
        <v>1548000</v>
      </c>
      <c r="I140" s="34">
        <f t="shared" si="63"/>
        <v>2322000</v>
      </c>
      <c r="J140" s="34">
        <f t="shared" si="63"/>
        <v>1935000</v>
      </c>
      <c r="K140" s="34">
        <f t="shared" si="63"/>
        <v>1935000</v>
      </c>
      <c r="L140" s="34">
        <f t="shared" si="63"/>
        <v>0</v>
      </c>
      <c r="M140" s="34">
        <f t="shared" si="63"/>
        <v>0</v>
      </c>
      <c r="N140" s="34">
        <f t="shared" si="63"/>
        <v>0</v>
      </c>
      <c r="O140" s="34">
        <f t="shared" si="63"/>
        <v>0</v>
      </c>
      <c r="P140" s="34">
        <f t="shared" si="63"/>
        <v>0</v>
      </c>
      <c r="Q140" s="34">
        <f t="shared" si="63"/>
        <v>0</v>
      </c>
      <c r="R140" s="34">
        <f t="shared" si="63"/>
        <v>0</v>
      </c>
      <c r="S140" s="34">
        <f t="shared" si="63"/>
        <v>972000</v>
      </c>
      <c r="T140" s="34">
        <f t="shared" si="63"/>
        <v>777600</v>
      </c>
      <c r="U140" s="34">
        <f t="shared" si="63"/>
        <v>1166400</v>
      </c>
      <c r="V140" s="34">
        <f t="shared" si="63"/>
        <v>729000</v>
      </c>
      <c r="W140" s="34">
        <f t="shared" si="63"/>
        <v>1134000</v>
      </c>
      <c r="X140" s="34">
        <f t="shared" si="63"/>
        <v>972000</v>
      </c>
      <c r="Y140" s="34">
        <f t="shared" si="63"/>
        <v>972000</v>
      </c>
    </row>
    <row r="141" spans="1:25" x14ac:dyDescent="0.2">
      <c r="A141" s="8" t="s">
        <v>626</v>
      </c>
      <c r="B141" s="6" t="s">
        <v>627</v>
      </c>
      <c r="C141" s="6" t="s">
        <v>91</v>
      </c>
      <c r="D141" s="8" t="s">
        <v>628</v>
      </c>
      <c r="E141" s="119">
        <f t="shared" ref="E141:Y141" si="64">E113*E80*E101*365*N_energy_price</f>
        <v>19272</v>
      </c>
      <c r="F141" s="34">
        <f t="shared" si="64"/>
        <v>72270</v>
      </c>
      <c r="G141" s="34">
        <f t="shared" si="64"/>
        <v>72270</v>
      </c>
      <c r="H141" s="34">
        <f t="shared" si="64"/>
        <v>57816</v>
      </c>
      <c r="I141" s="34">
        <f t="shared" si="64"/>
        <v>86724</v>
      </c>
      <c r="J141" s="34">
        <f t="shared" si="64"/>
        <v>72270</v>
      </c>
      <c r="K141" s="34">
        <f t="shared" si="64"/>
        <v>72270</v>
      </c>
      <c r="L141" s="34">
        <f t="shared" si="64"/>
        <v>72270</v>
      </c>
      <c r="M141" s="34">
        <f t="shared" si="64"/>
        <v>72270</v>
      </c>
      <c r="N141" s="34">
        <f t="shared" si="64"/>
        <v>72270</v>
      </c>
      <c r="O141" s="34">
        <f t="shared" si="64"/>
        <v>57816</v>
      </c>
      <c r="P141" s="34">
        <f t="shared" si="64"/>
        <v>86724</v>
      </c>
      <c r="Q141" s="34">
        <f t="shared" si="64"/>
        <v>72270</v>
      </c>
      <c r="R141" s="34">
        <f t="shared" si="64"/>
        <v>72270</v>
      </c>
      <c r="S141" s="34">
        <f t="shared" si="64"/>
        <v>19272</v>
      </c>
      <c r="T141" s="34">
        <f t="shared" si="64"/>
        <v>19272</v>
      </c>
      <c r="U141" s="34">
        <f t="shared" si="64"/>
        <v>19272</v>
      </c>
      <c r="V141" s="34">
        <f t="shared" si="64"/>
        <v>14454</v>
      </c>
      <c r="W141" s="34">
        <f t="shared" si="64"/>
        <v>22484</v>
      </c>
      <c r="X141" s="34">
        <f t="shared" si="64"/>
        <v>19272</v>
      </c>
      <c r="Y141" s="34">
        <f t="shared" si="64"/>
        <v>19272</v>
      </c>
    </row>
    <row r="142" spans="1:25" x14ac:dyDescent="0.2">
      <c r="A142" s="8" t="s">
        <v>629</v>
      </c>
      <c r="B142" s="6" t="s">
        <v>630</v>
      </c>
      <c r="C142" s="6" t="s">
        <v>91</v>
      </c>
      <c r="D142" s="8" t="s">
        <v>631</v>
      </c>
      <c r="E142" s="119">
        <f t="shared" ref="E142:Y142" si="65">N_connect*IF(E113&gt;0,1,0)</f>
        <v>100</v>
      </c>
      <c r="F142" s="34">
        <f t="shared" si="65"/>
        <v>100</v>
      </c>
      <c r="G142" s="34">
        <f t="shared" si="65"/>
        <v>100</v>
      </c>
      <c r="H142" s="34">
        <f t="shared" si="65"/>
        <v>100</v>
      </c>
      <c r="I142" s="34">
        <f t="shared" si="65"/>
        <v>100</v>
      </c>
      <c r="J142" s="34">
        <f t="shared" si="65"/>
        <v>100</v>
      </c>
      <c r="K142" s="34">
        <f t="shared" si="65"/>
        <v>100</v>
      </c>
      <c r="L142" s="34">
        <f t="shared" si="65"/>
        <v>100</v>
      </c>
      <c r="M142" s="34">
        <f t="shared" si="65"/>
        <v>100</v>
      </c>
      <c r="N142" s="34">
        <f t="shared" si="65"/>
        <v>100</v>
      </c>
      <c r="O142" s="34">
        <f t="shared" si="65"/>
        <v>100</v>
      </c>
      <c r="P142" s="34">
        <f t="shared" si="65"/>
        <v>100</v>
      </c>
      <c r="Q142" s="34">
        <f t="shared" si="65"/>
        <v>100</v>
      </c>
      <c r="R142" s="34">
        <f t="shared" si="65"/>
        <v>100</v>
      </c>
      <c r="S142" s="34">
        <f t="shared" si="65"/>
        <v>100</v>
      </c>
      <c r="T142" s="34">
        <f t="shared" si="65"/>
        <v>100</v>
      </c>
      <c r="U142" s="34">
        <f t="shared" si="65"/>
        <v>100</v>
      </c>
      <c r="V142" s="34">
        <f t="shared" si="65"/>
        <v>100</v>
      </c>
      <c r="W142" s="34">
        <f t="shared" si="65"/>
        <v>100</v>
      </c>
      <c r="X142" s="34">
        <f t="shared" si="65"/>
        <v>100</v>
      </c>
      <c r="Y142" s="34">
        <f t="shared" si="65"/>
        <v>100</v>
      </c>
    </row>
    <row r="143" spans="1:25" x14ac:dyDescent="0.2">
      <c r="A143" s="8" t="s">
        <v>632</v>
      </c>
      <c r="B143" s="6" t="s">
        <v>633</v>
      </c>
      <c r="C143" s="6" t="s">
        <v>91</v>
      </c>
      <c r="D143" s="8" t="s">
        <v>634</v>
      </c>
      <c r="E143" s="119">
        <f t="shared" ref="E143:Y143" si="66">Skl_consum_per_robot*E113</f>
        <v>0</v>
      </c>
      <c r="F143" s="34">
        <f t="shared" si="66"/>
        <v>0</v>
      </c>
      <c r="G143" s="34">
        <f t="shared" si="66"/>
        <v>0</v>
      </c>
      <c r="H143" s="34">
        <f t="shared" si="66"/>
        <v>0</v>
      </c>
      <c r="I143" s="34">
        <f t="shared" si="66"/>
        <v>0</v>
      </c>
      <c r="J143" s="34">
        <f t="shared" si="66"/>
        <v>0</v>
      </c>
      <c r="K143" s="34">
        <f t="shared" si="66"/>
        <v>0</v>
      </c>
      <c r="L143" s="34">
        <f t="shared" si="66"/>
        <v>0</v>
      </c>
      <c r="M143" s="34">
        <f t="shared" si="66"/>
        <v>0</v>
      </c>
      <c r="N143" s="34">
        <f t="shared" si="66"/>
        <v>0</v>
      </c>
      <c r="O143" s="34">
        <f t="shared" si="66"/>
        <v>0</v>
      </c>
      <c r="P143" s="34">
        <f t="shared" si="66"/>
        <v>0</v>
      </c>
      <c r="Q143" s="34">
        <f t="shared" si="66"/>
        <v>0</v>
      </c>
      <c r="R143" s="34">
        <f t="shared" si="66"/>
        <v>0</v>
      </c>
      <c r="S143" s="34">
        <f t="shared" si="66"/>
        <v>0</v>
      </c>
      <c r="T143" s="34">
        <f t="shared" si="66"/>
        <v>0</v>
      </c>
      <c r="U143" s="34">
        <f t="shared" si="66"/>
        <v>0</v>
      </c>
      <c r="V143" s="34">
        <f t="shared" si="66"/>
        <v>0</v>
      </c>
      <c r="W143" s="34">
        <f t="shared" si="66"/>
        <v>0</v>
      </c>
      <c r="X143" s="34">
        <f t="shared" si="66"/>
        <v>0</v>
      </c>
      <c r="Y143" s="34">
        <f t="shared" si="66"/>
        <v>0</v>
      </c>
    </row>
    <row r="144" spans="1:25" ht="28" x14ac:dyDescent="0.2">
      <c r="A144" s="8" t="s">
        <v>635</v>
      </c>
      <c r="B144" s="6" t="s">
        <v>636</v>
      </c>
      <c r="C144" s="6" t="s">
        <v>91</v>
      </c>
      <c r="D144" s="8" t="s">
        <v>637</v>
      </c>
      <c r="E144" s="119">
        <f t="shared" ref="E144:Y144" si="67">Skl_fleet_per_shift*Skl_shifts*(1+Skl_loss_k)*Skl_fleet_sal*12*N_fot*E$67*IF(E113&gt;0,1,0)</f>
        <v>4687200</v>
      </c>
      <c r="F144" s="34">
        <f t="shared" si="67"/>
        <v>4687200</v>
      </c>
      <c r="G144" s="34">
        <f t="shared" si="67"/>
        <v>4687200</v>
      </c>
      <c r="H144" s="34">
        <f t="shared" si="67"/>
        <v>4687200</v>
      </c>
      <c r="I144" s="34">
        <f t="shared" si="67"/>
        <v>4687200</v>
      </c>
      <c r="J144" s="34">
        <f t="shared" si="67"/>
        <v>3749760</v>
      </c>
      <c r="K144" s="34">
        <f t="shared" si="67"/>
        <v>5624640</v>
      </c>
      <c r="L144" s="34">
        <f t="shared" si="67"/>
        <v>4687200</v>
      </c>
      <c r="M144" s="34">
        <f t="shared" si="67"/>
        <v>4687200</v>
      </c>
      <c r="N144" s="34">
        <f t="shared" si="67"/>
        <v>4687200</v>
      </c>
      <c r="O144" s="34">
        <f t="shared" si="67"/>
        <v>4687200</v>
      </c>
      <c r="P144" s="34">
        <f t="shared" si="67"/>
        <v>4687200</v>
      </c>
      <c r="Q144" s="34">
        <f t="shared" si="67"/>
        <v>3749760</v>
      </c>
      <c r="R144" s="34">
        <f t="shared" si="67"/>
        <v>5624640</v>
      </c>
      <c r="S144" s="34">
        <f t="shared" si="67"/>
        <v>4687200</v>
      </c>
      <c r="T144" s="34">
        <f t="shared" si="67"/>
        <v>4687200</v>
      </c>
      <c r="U144" s="34">
        <f t="shared" si="67"/>
        <v>4687200</v>
      </c>
      <c r="V144" s="34">
        <f t="shared" si="67"/>
        <v>4687200</v>
      </c>
      <c r="W144" s="34">
        <f t="shared" si="67"/>
        <v>4687200</v>
      </c>
      <c r="X144" s="34">
        <f t="shared" si="67"/>
        <v>3749760</v>
      </c>
      <c r="Y144" s="34">
        <f t="shared" si="67"/>
        <v>5624640</v>
      </c>
    </row>
    <row r="145" spans="1:25" ht="28" x14ac:dyDescent="0.2">
      <c r="A145" s="8" t="s">
        <v>638</v>
      </c>
      <c r="B145" s="6" t="s">
        <v>639</v>
      </c>
      <c r="C145" s="6" t="s">
        <v>91</v>
      </c>
      <c r="D145" s="8" t="s">
        <v>640</v>
      </c>
      <c r="E145" s="119">
        <f t="shared" ref="E145:Y145" si="68">E123*E134*N_loan_share*N_loan_rate*(N_loan_years+1)/(2*N_loan_years)</f>
        <v>0</v>
      </c>
      <c r="F145" s="34">
        <f t="shared" si="68"/>
        <v>0</v>
      </c>
      <c r="G145" s="34">
        <f t="shared" si="68"/>
        <v>0</v>
      </c>
      <c r="H145" s="34">
        <f t="shared" si="68"/>
        <v>0</v>
      </c>
      <c r="I145" s="34">
        <f t="shared" si="68"/>
        <v>0</v>
      </c>
      <c r="J145" s="34">
        <f t="shared" si="68"/>
        <v>0</v>
      </c>
      <c r="K145" s="34">
        <f t="shared" si="68"/>
        <v>0</v>
      </c>
      <c r="L145" s="34">
        <f t="shared" si="68"/>
        <v>0</v>
      </c>
      <c r="M145" s="34">
        <f t="shared" si="68"/>
        <v>0</v>
      </c>
      <c r="N145" s="34">
        <f t="shared" si="68"/>
        <v>0</v>
      </c>
      <c r="O145" s="34">
        <f t="shared" si="68"/>
        <v>0</v>
      </c>
      <c r="P145" s="34">
        <f t="shared" si="68"/>
        <v>0</v>
      </c>
      <c r="Q145" s="34">
        <f t="shared" si="68"/>
        <v>0</v>
      </c>
      <c r="R145" s="34">
        <f t="shared" si="68"/>
        <v>0</v>
      </c>
      <c r="S145" s="34">
        <f t="shared" si="68"/>
        <v>0</v>
      </c>
      <c r="T145" s="34">
        <f t="shared" si="68"/>
        <v>0</v>
      </c>
      <c r="U145" s="34">
        <f t="shared" si="68"/>
        <v>0</v>
      </c>
      <c r="V145" s="34">
        <f t="shared" si="68"/>
        <v>0</v>
      </c>
      <c r="W145" s="34">
        <f t="shared" si="68"/>
        <v>0</v>
      </c>
      <c r="X145" s="34">
        <f t="shared" si="68"/>
        <v>0</v>
      </c>
      <c r="Y145" s="34">
        <f t="shared" si="68"/>
        <v>0</v>
      </c>
    </row>
    <row r="146" spans="1:25" ht="39" x14ac:dyDescent="0.2">
      <c r="A146" s="8" t="s">
        <v>641</v>
      </c>
      <c r="B146" s="37" t="s">
        <v>642</v>
      </c>
      <c r="C146" s="6" t="s">
        <v>91</v>
      </c>
      <c r="D146" s="8" t="s">
        <v>643</v>
      </c>
      <c r="E146" s="120">
        <f t="shared" ref="E146:Y146" si="69">E137+E138+E139+E140+E141+E142+E143+E144+E145</f>
        <v>7946572</v>
      </c>
      <c r="F146" s="41">
        <f t="shared" si="69"/>
        <v>9919570</v>
      </c>
      <c r="G146" s="41">
        <f t="shared" si="69"/>
        <v>12499570</v>
      </c>
      <c r="H146" s="41">
        <f t="shared" si="69"/>
        <v>9905116</v>
      </c>
      <c r="I146" s="41">
        <f t="shared" si="69"/>
        <v>12514024</v>
      </c>
      <c r="J146" s="41">
        <f t="shared" si="69"/>
        <v>10272130</v>
      </c>
      <c r="K146" s="41">
        <f t="shared" si="69"/>
        <v>12147010</v>
      </c>
      <c r="L146" s="41">
        <f t="shared" si="69"/>
        <v>20239570</v>
      </c>
      <c r="M146" s="41">
        <f t="shared" si="69"/>
        <v>17143570</v>
      </c>
      <c r="N146" s="41">
        <f t="shared" si="69"/>
        <v>23335570</v>
      </c>
      <c r="O146" s="41">
        <f t="shared" si="69"/>
        <v>17129116</v>
      </c>
      <c r="P146" s="41">
        <f t="shared" si="69"/>
        <v>23350024</v>
      </c>
      <c r="Q146" s="41">
        <f t="shared" si="69"/>
        <v>19302130</v>
      </c>
      <c r="R146" s="41">
        <f t="shared" si="69"/>
        <v>21177010</v>
      </c>
      <c r="S146" s="41">
        <f t="shared" si="69"/>
        <v>7946572</v>
      </c>
      <c r="T146" s="41">
        <f t="shared" si="69"/>
        <v>7298572</v>
      </c>
      <c r="U146" s="41">
        <f t="shared" si="69"/>
        <v>8594572</v>
      </c>
      <c r="V146" s="41">
        <f t="shared" si="69"/>
        <v>7131754</v>
      </c>
      <c r="W146" s="41">
        <f t="shared" si="69"/>
        <v>8489784</v>
      </c>
      <c r="X146" s="41">
        <f t="shared" si="69"/>
        <v>7009132</v>
      </c>
      <c r="Y146" s="41">
        <f t="shared" si="69"/>
        <v>8884012</v>
      </c>
    </row>
    <row r="147" spans="1:25" x14ac:dyDescent="0.2">
      <c r="A147" s="26"/>
      <c r="B147" s="27" t="s">
        <v>644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28" x14ac:dyDescent="0.2">
      <c r="A148" s="8" t="s">
        <v>645</v>
      </c>
      <c r="B148" s="37" t="s">
        <v>646</v>
      </c>
      <c r="C148" s="6" t="s">
        <v>374</v>
      </c>
      <c r="D148" s="8" t="s">
        <v>647</v>
      </c>
      <c r="E148" s="121">
        <f>Skl_fte_target*E84*E95*E$66</f>
        <v>12.5</v>
      </c>
      <c r="F148" s="42">
        <f t="shared" ref="E148:Y148" si="70">Skl_fte_target*F84*F95*F$66</f>
        <v>12.5</v>
      </c>
      <c r="G148" s="42">
        <f t="shared" si="70"/>
        <v>12.5</v>
      </c>
      <c r="H148" s="42">
        <f t="shared" si="70"/>
        <v>10</v>
      </c>
      <c r="I148" s="42">
        <f t="shared" si="70"/>
        <v>15</v>
      </c>
      <c r="J148" s="42">
        <f t="shared" si="70"/>
        <v>12.5</v>
      </c>
      <c r="K148" s="42">
        <f t="shared" si="70"/>
        <v>12.5</v>
      </c>
      <c r="L148" s="42">
        <f t="shared" si="70"/>
        <v>12.5</v>
      </c>
      <c r="M148" s="42">
        <f t="shared" si="70"/>
        <v>12.5</v>
      </c>
      <c r="N148" s="42">
        <f t="shared" si="70"/>
        <v>12.5</v>
      </c>
      <c r="O148" s="42">
        <f t="shared" si="70"/>
        <v>10</v>
      </c>
      <c r="P148" s="42">
        <f t="shared" si="70"/>
        <v>15</v>
      </c>
      <c r="Q148" s="42">
        <f t="shared" si="70"/>
        <v>12.5</v>
      </c>
      <c r="R148" s="42">
        <f t="shared" si="70"/>
        <v>12.5</v>
      </c>
      <c r="S148" s="42">
        <f t="shared" si="70"/>
        <v>0</v>
      </c>
      <c r="T148" s="42">
        <f t="shared" si="70"/>
        <v>0</v>
      </c>
      <c r="U148" s="42">
        <f t="shared" si="70"/>
        <v>0</v>
      </c>
      <c r="V148" s="42">
        <f t="shared" si="70"/>
        <v>0</v>
      </c>
      <c r="W148" s="42">
        <f t="shared" si="70"/>
        <v>0</v>
      </c>
      <c r="X148" s="42">
        <f t="shared" si="70"/>
        <v>0</v>
      </c>
      <c r="Y148" s="42">
        <f t="shared" si="70"/>
        <v>0</v>
      </c>
    </row>
    <row r="149" spans="1:25" ht="28" x14ac:dyDescent="0.2">
      <c r="A149" s="8" t="s">
        <v>648</v>
      </c>
      <c r="B149" s="6" t="s">
        <v>649</v>
      </c>
      <c r="C149" s="6" t="s">
        <v>91</v>
      </c>
      <c r="D149" s="8" t="s">
        <v>650</v>
      </c>
      <c r="E149" s="119">
        <f>Skl_labor_target*E84*E$67*E$66*E95</f>
        <v>23436000</v>
      </c>
      <c r="F149" s="34">
        <f t="shared" ref="E149:Y149" si="71">Skl_labor_target*F84*F$67*F$66*F95</f>
        <v>23436000</v>
      </c>
      <c r="G149" s="34">
        <f t="shared" si="71"/>
        <v>23436000</v>
      </c>
      <c r="H149" s="34">
        <f t="shared" si="71"/>
        <v>18748800</v>
      </c>
      <c r="I149" s="34">
        <f t="shared" si="71"/>
        <v>28123200</v>
      </c>
      <c r="J149" s="34">
        <f t="shared" si="71"/>
        <v>18748800</v>
      </c>
      <c r="K149" s="34">
        <f t="shared" si="71"/>
        <v>28123200</v>
      </c>
      <c r="L149" s="34">
        <f t="shared" si="71"/>
        <v>23436000</v>
      </c>
      <c r="M149" s="34">
        <f t="shared" si="71"/>
        <v>23436000</v>
      </c>
      <c r="N149" s="34">
        <f t="shared" si="71"/>
        <v>23436000</v>
      </c>
      <c r="O149" s="34">
        <f t="shared" si="71"/>
        <v>18748800</v>
      </c>
      <c r="P149" s="34">
        <f t="shared" si="71"/>
        <v>28123200</v>
      </c>
      <c r="Q149" s="34">
        <f t="shared" si="71"/>
        <v>18748800</v>
      </c>
      <c r="R149" s="34">
        <f t="shared" si="71"/>
        <v>28123200</v>
      </c>
      <c r="S149" s="34">
        <f t="shared" si="71"/>
        <v>0</v>
      </c>
      <c r="T149" s="34">
        <f t="shared" si="71"/>
        <v>0</v>
      </c>
      <c r="U149" s="34">
        <f t="shared" si="71"/>
        <v>0</v>
      </c>
      <c r="V149" s="34">
        <f t="shared" si="71"/>
        <v>0</v>
      </c>
      <c r="W149" s="34">
        <f t="shared" si="71"/>
        <v>0</v>
      </c>
      <c r="X149" s="34">
        <f t="shared" si="71"/>
        <v>0</v>
      </c>
      <c r="Y149" s="34">
        <f t="shared" si="71"/>
        <v>0</v>
      </c>
    </row>
    <row r="150" spans="1:25" x14ac:dyDescent="0.2">
      <c r="A150" s="8" t="s">
        <v>651</v>
      </c>
      <c r="B150" s="6" t="s">
        <v>652</v>
      </c>
      <c r="C150" s="6" t="s">
        <v>91</v>
      </c>
      <c r="D150" s="8" t="s">
        <v>653</v>
      </c>
      <c r="E150" s="34">
        <f>E120-E149</f>
        <v>23436000</v>
      </c>
      <c r="F150" s="34">
        <f t="shared" ref="E150:Y150" si="72">F120-F149</f>
        <v>23436000</v>
      </c>
      <c r="G150" s="34">
        <f t="shared" si="72"/>
        <v>23436000</v>
      </c>
      <c r="H150" s="34">
        <f t="shared" si="72"/>
        <v>18748800</v>
      </c>
      <c r="I150" s="34">
        <f t="shared" si="72"/>
        <v>28123200</v>
      </c>
      <c r="J150" s="34">
        <f t="shared" si="72"/>
        <v>18748800</v>
      </c>
      <c r="K150" s="34">
        <f t="shared" si="72"/>
        <v>28123200</v>
      </c>
      <c r="L150" s="34">
        <f t="shared" si="72"/>
        <v>23436000</v>
      </c>
      <c r="M150" s="34">
        <f t="shared" si="72"/>
        <v>23436000</v>
      </c>
      <c r="N150" s="34">
        <f t="shared" si="72"/>
        <v>23436000</v>
      </c>
      <c r="O150" s="34">
        <f t="shared" si="72"/>
        <v>18748800</v>
      </c>
      <c r="P150" s="34">
        <f t="shared" si="72"/>
        <v>28123200</v>
      </c>
      <c r="Q150" s="34">
        <f t="shared" si="72"/>
        <v>18748800</v>
      </c>
      <c r="R150" s="34">
        <f t="shared" si="72"/>
        <v>28123200</v>
      </c>
      <c r="S150" s="34">
        <f t="shared" si="72"/>
        <v>46872000</v>
      </c>
      <c r="T150" s="34">
        <f t="shared" si="72"/>
        <v>46872000</v>
      </c>
      <c r="U150" s="34">
        <f t="shared" si="72"/>
        <v>46872000</v>
      </c>
      <c r="V150" s="34">
        <f t="shared" si="72"/>
        <v>37497600</v>
      </c>
      <c r="W150" s="34">
        <f t="shared" si="72"/>
        <v>56246400</v>
      </c>
      <c r="X150" s="34">
        <f t="shared" si="72"/>
        <v>37497600</v>
      </c>
      <c r="Y150" s="34">
        <f t="shared" si="72"/>
        <v>56246400</v>
      </c>
    </row>
    <row r="151" spans="1:25" ht="42" x14ac:dyDescent="0.2">
      <c r="A151" s="8" t="s">
        <v>654</v>
      </c>
      <c r="B151" s="37" t="s">
        <v>655</v>
      </c>
      <c r="C151" s="6" t="s">
        <v>91</v>
      </c>
      <c r="D151" s="8" t="s">
        <v>656</v>
      </c>
      <c r="E151" s="41">
        <f>E150+E146</f>
        <v>31382572</v>
      </c>
      <c r="F151" s="41">
        <f t="shared" ref="E151:Y151" si="73">F150+F146</f>
        <v>33355570</v>
      </c>
      <c r="G151" s="41">
        <f t="shared" si="73"/>
        <v>35935570</v>
      </c>
      <c r="H151" s="41">
        <f t="shared" si="73"/>
        <v>28653916</v>
      </c>
      <c r="I151" s="41">
        <f t="shared" si="73"/>
        <v>40637224</v>
      </c>
      <c r="J151" s="41">
        <f t="shared" si="73"/>
        <v>29020930</v>
      </c>
      <c r="K151" s="41">
        <f t="shared" si="73"/>
        <v>40270210</v>
      </c>
      <c r="L151" s="41">
        <f t="shared" si="73"/>
        <v>43675570</v>
      </c>
      <c r="M151" s="41">
        <f t="shared" si="73"/>
        <v>40579570</v>
      </c>
      <c r="N151" s="41">
        <f t="shared" si="73"/>
        <v>46771570</v>
      </c>
      <c r="O151" s="41">
        <f t="shared" si="73"/>
        <v>35877916</v>
      </c>
      <c r="P151" s="41">
        <f t="shared" si="73"/>
        <v>51473224</v>
      </c>
      <c r="Q151" s="41">
        <f t="shared" si="73"/>
        <v>38050930</v>
      </c>
      <c r="R151" s="41">
        <f t="shared" si="73"/>
        <v>49300210</v>
      </c>
      <c r="S151" s="41">
        <f t="shared" si="73"/>
        <v>54818572</v>
      </c>
      <c r="T151" s="41">
        <f t="shared" si="73"/>
        <v>54170572</v>
      </c>
      <c r="U151" s="41">
        <f t="shared" si="73"/>
        <v>55466572</v>
      </c>
      <c r="V151" s="41">
        <f t="shared" si="73"/>
        <v>44629354</v>
      </c>
      <c r="W151" s="41">
        <f t="shared" si="73"/>
        <v>64736184</v>
      </c>
      <c r="X151" s="41">
        <f t="shared" si="73"/>
        <v>44506732</v>
      </c>
      <c r="Y151" s="41">
        <f t="shared" si="73"/>
        <v>65130412</v>
      </c>
    </row>
    <row r="152" spans="1:25" ht="28" x14ac:dyDescent="0.2">
      <c r="A152" s="8" t="s">
        <v>657</v>
      </c>
      <c r="B152" s="37" t="s">
        <v>658</v>
      </c>
      <c r="C152" s="6" t="s">
        <v>91</v>
      </c>
      <c r="D152" s="8" t="s">
        <v>659</v>
      </c>
      <c r="E152" s="41">
        <f>E151-E121</f>
        <v>-15489428</v>
      </c>
      <c r="F152" s="41">
        <f t="shared" ref="E152:Y152" si="74">F151-F121</f>
        <v>-13516430</v>
      </c>
      <c r="G152" s="41">
        <f t="shared" si="74"/>
        <v>-10936430</v>
      </c>
      <c r="H152" s="41">
        <f t="shared" si="74"/>
        <v>-8843684</v>
      </c>
      <c r="I152" s="41">
        <f t="shared" si="74"/>
        <v>-15609176</v>
      </c>
      <c r="J152" s="41">
        <f t="shared" si="74"/>
        <v>-8476670</v>
      </c>
      <c r="K152" s="41">
        <f t="shared" si="74"/>
        <v>-15976190</v>
      </c>
      <c r="L152" s="41">
        <f t="shared" si="74"/>
        <v>-3196430</v>
      </c>
      <c r="M152" s="41">
        <f t="shared" si="74"/>
        <v>-6292430</v>
      </c>
      <c r="N152" s="41">
        <f t="shared" si="74"/>
        <v>-100430</v>
      </c>
      <c r="O152" s="41">
        <f t="shared" si="74"/>
        <v>-1619684</v>
      </c>
      <c r="P152" s="41">
        <f t="shared" si="74"/>
        <v>-4773176</v>
      </c>
      <c r="Q152" s="41">
        <f t="shared" si="74"/>
        <v>553330</v>
      </c>
      <c r="R152" s="41">
        <f t="shared" si="74"/>
        <v>-6946190</v>
      </c>
      <c r="S152" s="41">
        <f t="shared" si="74"/>
        <v>7946572</v>
      </c>
      <c r="T152" s="41">
        <f t="shared" si="74"/>
        <v>7298572</v>
      </c>
      <c r="U152" s="41">
        <f t="shared" si="74"/>
        <v>8594572</v>
      </c>
      <c r="V152" s="41">
        <f t="shared" si="74"/>
        <v>7131754</v>
      </c>
      <c r="W152" s="41">
        <f t="shared" si="74"/>
        <v>8489784</v>
      </c>
      <c r="X152" s="41">
        <f t="shared" si="74"/>
        <v>7009132</v>
      </c>
      <c r="Y152" s="41">
        <f t="shared" si="74"/>
        <v>8884012</v>
      </c>
    </row>
    <row r="153" spans="1:25" ht="42" x14ac:dyDescent="0.2">
      <c r="A153" s="8" t="s">
        <v>660</v>
      </c>
      <c r="B153" s="6" t="s">
        <v>661</v>
      </c>
      <c r="C153" s="6" t="s">
        <v>91</v>
      </c>
      <c r="D153" s="8" t="s">
        <v>662</v>
      </c>
      <c r="E153" s="34">
        <f t="shared" ref="E153:Y153" si="75">E148*Skl_turnover*N_hire_cost*Skl_sal_target*E$67</f>
        <v>0</v>
      </c>
      <c r="F153" s="34">
        <f t="shared" si="75"/>
        <v>0</v>
      </c>
      <c r="G153" s="34">
        <f t="shared" si="75"/>
        <v>0</v>
      </c>
      <c r="H153" s="34">
        <f t="shared" si="75"/>
        <v>0</v>
      </c>
      <c r="I153" s="34">
        <f t="shared" si="75"/>
        <v>0</v>
      </c>
      <c r="J153" s="34">
        <f t="shared" si="75"/>
        <v>0</v>
      </c>
      <c r="K153" s="34">
        <f t="shared" si="75"/>
        <v>0</v>
      </c>
      <c r="L153" s="34">
        <f t="shared" si="75"/>
        <v>0</v>
      </c>
      <c r="M153" s="34">
        <f t="shared" si="75"/>
        <v>0</v>
      </c>
      <c r="N153" s="34">
        <f t="shared" si="75"/>
        <v>0</v>
      </c>
      <c r="O153" s="34">
        <f t="shared" si="75"/>
        <v>0</v>
      </c>
      <c r="P153" s="34">
        <f t="shared" si="75"/>
        <v>0</v>
      </c>
      <c r="Q153" s="34">
        <f t="shared" si="75"/>
        <v>0</v>
      </c>
      <c r="R153" s="34">
        <f t="shared" si="75"/>
        <v>0</v>
      </c>
      <c r="S153" s="34">
        <f t="shared" si="75"/>
        <v>0</v>
      </c>
      <c r="T153" s="34">
        <f t="shared" si="75"/>
        <v>0</v>
      </c>
      <c r="U153" s="34">
        <f t="shared" si="75"/>
        <v>0</v>
      </c>
      <c r="V153" s="34">
        <f t="shared" si="75"/>
        <v>0</v>
      </c>
      <c r="W153" s="34">
        <f t="shared" si="75"/>
        <v>0</v>
      </c>
      <c r="X153" s="34">
        <f t="shared" si="75"/>
        <v>0</v>
      </c>
      <c r="Y153" s="34">
        <f t="shared" si="75"/>
        <v>0</v>
      </c>
    </row>
    <row r="154" spans="1:25" ht="28" x14ac:dyDescent="0.2">
      <c r="A154" s="8" t="s">
        <v>663</v>
      </c>
      <c r="B154" s="6" t="s">
        <v>664</v>
      </c>
      <c r="C154" s="6" t="s">
        <v>91</v>
      </c>
      <c r="D154" s="8" t="s">
        <v>665</v>
      </c>
      <c r="E154" s="34">
        <f t="shared" ref="E154:Y154" si="76">Skl_other_effects*E95</f>
        <v>0</v>
      </c>
      <c r="F154" s="34">
        <f t="shared" si="76"/>
        <v>0</v>
      </c>
      <c r="G154" s="34">
        <f t="shared" si="76"/>
        <v>0</v>
      </c>
      <c r="H154" s="34">
        <f t="shared" si="76"/>
        <v>0</v>
      </c>
      <c r="I154" s="34">
        <f t="shared" si="76"/>
        <v>0</v>
      </c>
      <c r="J154" s="34">
        <f t="shared" si="76"/>
        <v>0</v>
      </c>
      <c r="K154" s="34">
        <f t="shared" si="76"/>
        <v>0</v>
      </c>
      <c r="L154" s="34">
        <f t="shared" si="76"/>
        <v>0</v>
      </c>
      <c r="M154" s="34">
        <f t="shared" si="76"/>
        <v>0</v>
      </c>
      <c r="N154" s="34">
        <f t="shared" si="76"/>
        <v>0</v>
      </c>
      <c r="O154" s="34">
        <f t="shared" si="76"/>
        <v>0</v>
      </c>
      <c r="P154" s="34">
        <f t="shared" si="76"/>
        <v>0</v>
      </c>
      <c r="Q154" s="34">
        <f t="shared" si="76"/>
        <v>0</v>
      </c>
      <c r="R154" s="34">
        <f t="shared" si="76"/>
        <v>0</v>
      </c>
      <c r="S154" s="34">
        <f t="shared" si="76"/>
        <v>0</v>
      </c>
      <c r="T154" s="34">
        <f t="shared" si="76"/>
        <v>0</v>
      </c>
      <c r="U154" s="34">
        <f t="shared" si="76"/>
        <v>0</v>
      </c>
      <c r="V154" s="34">
        <f t="shared" si="76"/>
        <v>0</v>
      </c>
      <c r="W154" s="34">
        <f t="shared" si="76"/>
        <v>0</v>
      </c>
      <c r="X154" s="34">
        <f t="shared" si="76"/>
        <v>0</v>
      </c>
      <c r="Y154" s="34">
        <f t="shared" si="76"/>
        <v>0</v>
      </c>
    </row>
    <row r="155" spans="1:25" ht="42" x14ac:dyDescent="0.2">
      <c r="A155" s="8" t="s">
        <v>666</v>
      </c>
      <c r="B155" s="37" t="s">
        <v>667</v>
      </c>
      <c r="C155" s="6" t="s">
        <v>91</v>
      </c>
      <c r="D155" s="8" t="s">
        <v>668</v>
      </c>
      <c r="E155" s="41">
        <f t="shared" ref="E155:Y155" si="77">E121-E151+E153+E154</f>
        <v>15489428</v>
      </c>
      <c r="F155" s="41">
        <f t="shared" si="77"/>
        <v>13516430</v>
      </c>
      <c r="G155" s="41">
        <f t="shared" si="77"/>
        <v>10936430</v>
      </c>
      <c r="H155" s="41">
        <f t="shared" si="77"/>
        <v>8843684</v>
      </c>
      <c r="I155" s="41">
        <f t="shared" si="77"/>
        <v>15609176</v>
      </c>
      <c r="J155" s="41">
        <f t="shared" si="77"/>
        <v>8476670</v>
      </c>
      <c r="K155" s="41">
        <f t="shared" si="77"/>
        <v>15976190</v>
      </c>
      <c r="L155" s="41">
        <f t="shared" si="77"/>
        <v>3196430</v>
      </c>
      <c r="M155" s="41">
        <f t="shared" si="77"/>
        <v>6292430</v>
      </c>
      <c r="N155" s="41">
        <f t="shared" si="77"/>
        <v>100430</v>
      </c>
      <c r="O155" s="41">
        <f t="shared" si="77"/>
        <v>1619684</v>
      </c>
      <c r="P155" s="41">
        <f t="shared" si="77"/>
        <v>4773176</v>
      </c>
      <c r="Q155" s="41">
        <f t="shared" si="77"/>
        <v>-553330</v>
      </c>
      <c r="R155" s="41">
        <f t="shared" si="77"/>
        <v>6946190</v>
      </c>
      <c r="S155" s="41">
        <f t="shared" si="77"/>
        <v>-7946572</v>
      </c>
      <c r="T155" s="41">
        <f t="shared" si="77"/>
        <v>-7298572</v>
      </c>
      <c r="U155" s="41">
        <f t="shared" si="77"/>
        <v>-8594572</v>
      </c>
      <c r="V155" s="41">
        <f t="shared" si="77"/>
        <v>-7131754</v>
      </c>
      <c r="W155" s="41">
        <f t="shared" si="77"/>
        <v>-8489784</v>
      </c>
      <c r="X155" s="41">
        <f t="shared" si="77"/>
        <v>-7009132</v>
      </c>
      <c r="Y155" s="41">
        <f t="shared" si="77"/>
        <v>-8884012</v>
      </c>
    </row>
    <row r="156" spans="1:25" ht="28" x14ac:dyDescent="0.2">
      <c r="A156" s="8" t="s">
        <v>669</v>
      </c>
      <c r="B156" s="6" t="s">
        <v>670</v>
      </c>
      <c r="C156" s="6" t="s">
        <v>91</v>
      </c>
      <c r="D156" s="8" t="s">
        <v>671</v>
      </c>
      <c r="E156" s="34">
        <f t="shared" ref="E156:Y156" si="78">E134/N_life*E123</f>
        <v>4633915</v>
      </c>
      <c r="F156" s="34">
        <f t="shared" si="78"/>
        <v>7379735</v>
      </c>
      <c r="G156" s="34">
        <f t="shared" si="78"/>
        <v>11069135</v>
      </c>
      <c r="H156" s="34">
        <f t="shared" si="78"/>
        <v>7379515</v>
      </c>
      <c r="I156" s="34">
        <f t="shared" si="78"/>
        <v>11069245</v>
      </c>
      <c r="J156" s="34">
        <f t="shared" si="78"/>
        <v>9224435</v>
      </c>
      <c r="K156" s="34">
        <f t="shared" si="78"/>
        <v>9224435</v>
      </c>
      <c r="L156" s="34">
        <f t="shared" si="78"/>
        <v>0</v>
      </c>
      <c r="M156" s="34">
        <f t="shared" si="78"/>
        <v>0</v>
      </c>
      <c r="N156" s="34">
        <f t="shared" si="78"/>
        <v>0</v>
      </c>
      <c r="O156" s="34">
        <f t="shared" si="78"/>
        <v>0</v>
      </c>
      <c r="P156" s="34">
        <f t="shared" si="78"/>
        <v>0</v>
      </c>
      <c r="Q156" s="34">
        <f t="shared" si="78"/>
        <v>0</v>
      </c>
      <c r="R156" s="34">
        <f t="shared" si="78"/>
        <v>0</v>
      </c>
      <c r="S156" s="34">
        <f t="shared" si="78"/>
        <v>4633915</v>
      </c>
      <c r="T156" s="34">
        <f t="shared" si="78"/>
        <v>3707275</v>
      </c>
      <c r="U156" s="34">
        <f t="shared" si="78"/>
        <v>5560555</v>
      </c>
      <c r="V156" s="34">
        <f t="shared" si="78"/>
        <v>3475505</v>
      </c>
      <c r="W156" s="34">
        <f t="shared" si="78"/>
        <v>5406225</v>
      </c>
      <c r="X156" s="34">
        <f t="shared" si="78"/>
        <v>4633915</v>
      </c>
      <c r="Y156" s="34">
        <f t="shared" si="78"/>
        <v>4633915</v>
      </c>
    </row>
    <row r="157" spans="1:25" ht="28" x14ac:dyDescent="0.2">
      <c r="A157" s="8" t="s">
        <v>672</v>
      </c>
      <c r="B157" s="37" t="s">
        <v>673</v>
      </c>
      <c r="C157" s="6" t="s">
        <v>91</v>
      </c>
      <c r="D157" s="8" t="s">
        <v>674</v>
      </c>
      <c r="E157" s="41">
        <f t="shared" ref="E157:Y157" si="79">E155-E156</f>
        <v>10855513</v>
      </c>
      <c r="F157" s="41">
        <f t="shared" si="79"/>
        <v>6136695</v>
      </c>
      <c r="G157" s="41">
        <f t="shared" si="79"/>
        <v>-132705</v>
      </c>
      <c r="H157" s="41">
        <f t="shared" si="79"/>
        <v>1464169</v>
      </c>
      <c r="I157" s="41">
        <f t="shared" si="79"/>
        <v>4539931</v>
      </c>
      <c r="J157" s="41">
        <f t="shared" si="79"/>
        <v>-747765</v>
      </c>
      <c r="K157" s="41">
        <f t="shared" si="79"/>
        <v>6751755</v>
      </c>
      <c r="L157" s="41">
        <f t="shared" si="79"/>
        <v>3196430</v>
      </c>
      <c r="M157" s="41">
        <f t="shared" si="79"/>
        <v>6292430</v>
      </c>
      <c r="N157" s="41">
        <f t="shared" si="79"/>
        <v>100430</v>
      </c>
      <c r="O157" s="41">
        <f t="shared" si="79"/>
        <v>1619684</v>
      </c>
      <c r="P157" s="41">
        <f t="shared" si="79"/>
        <v>4773176</v>
      </c>
      <c r="Q157" s="41">
        <f t="shared" si="79"/>
        <v>-553330</v>
      </c>
      <c r="R157" s="41">
        <f t="shared" si="79"/>
        <v>6946190</v>
      </c>
      <c r="S157" s="41">
        <f t="shared" si="79"/>
        <v>-12580487</v>
      </c>
      <c r="T157" s="41">
        <f t="shared" si="79"/>
        <v>-11005847</v>
      </c>
      <c r="U157" s="41">
        <f t="shared" si="79"/>
        <v>-14155127</v>
      </c>
      <c r="V157" s="41">
        <f t="shared" si="79"/>
        <v>-10607259</v>
      </c>
      <c r="W157" s="41">
        <f t="shared" si="79"/>
        <v>-13896009</v>
      </c>
      <c r="X157" s="41">
        <f t="shared" si="79"/>
        <v>-11643047</v>
      </c>
      <c r="Y157" s="41">
        <f t="shared" si="79"/>
        <v>-13517927</v>
      </c>
    </row>
    <row r="158" spans="1:25" ht="28" x14ac:dyDescent="0.2">
      <c r="A158" s="8" t="s">
        <v>675</v>
      </c>
      <c r="B158" s="37" t="s">
        <v>676</v>
      </c>
      <c r="C158" s="6" t="s">
        <v>85</v>
      </c>
      <c r="D158" s="8" t="s">
        <v>677</v>
      </c>
      <c r="E158" s="42">
        <f t="shared" ref="E158:Y158" si="80">IF(AND(E95=1,E155&gt;0),E134/E155,"не окупается")</f>
        <v>2.9916630878816184</v>
      </c>
      <c r="F158" s="42">
        <f t="shared" si="80"/>
        <v>5.4598255604475439</v>
      </c>
      <c r="G158" s="42">
        <f t="shared" si="80"/>
        <v>10.121342156444104</v>
      </c>
      <c r="H158" s="42">
        <f t="shared" si="80"/>
        <v>8.3443901885232439</v>
      </c>
      <c r="I158" s="42">
        <f t="shared" si="80"/>
        <v>7.0914986159423146</v>
      </c>
      <c r="J158" s="42">
        <f t="shared" si="80"/>
        <v>10.882144757316258</v>
      </c>
      <c r="K158" s="42">
        <f t="shared" si="80"/>
        <v>5.7738641065235203</v>
      </c>
      <c r="L158" s="42">
        <f t="shared" si="80"/>
        <v>3.3296677856233359</v>
      </c>
      <c r="M158" s="42">
        <f t="shared" si="80"/>
        <v>1.3531417910091967</v>
      </c>
      <c r="N158" s="42">
        <f t="shared" si="80"/>
        <v>127.16867469879519</v>
      </c>
      <c r="O158" s="42">
        <f t="shared" si="80"/>
        <v>5.2569204857243754</v>
      </c>
      <c r="P158" s="42">
        <f t="shared" si="80"/>
        <v>2.6756922434873553</v>
      </c>
      <c r="Q158" s="42" t="str">
        <f t="shared" si="80"/>
        <v>не окупается</v>
      </c>
      <c r="R158" s="42">
        <f t="shared" si="80"/>
        <v>1.5322140626732064</v>
      </c>
      <c r="S158" s="42" t="str">
        <f t="shared" si="80"/>
        <v>не окупается</v>
      </c>
      <c r="T158" s="42" t="str">
        <f t="shared" si="80"/>
        <v>не окупается</v>
      </c>
      <c r="U158" s="42" t="str">
        <f t="shared" si="80"/>
        <v>не окупается</v>
      </c>
      <c r="V158" s="42" t="str">
        <f t="shared" si="80"/>
        <v>не окупается</v>
      </c>
      <c r="W158" s="42" t="str">
        <f t="shared" si="80"/>
        <v>не окупается</v>
      </c>
      <c r="X158" s="42" t="str">
        <f t="shared" si="80"/>
        <v>не окупается</v>
      </c>
      <c r="Y158" s="42" t="str">
        <f t="shared" si="80"/>
        <v>не окупается</v>
      </c>
    </row>
    <row r="159" spans="1:25" x14ac:dyDescent="0.2">
      <c r="A159" s="8" t="s">
        <v>678</v>
      </c>
      <c r="B159" s="6" t="s">
        <v>679</v>
      </c>
      <c r="C159" s="6" t="s">
        <v>85</v>
      </c>
      <c r="D159" s="107" t="s">
        <v>303</v>
      </c>
      <c r="E159" s="35">
        <f t="shared" ref="E159:Y159" si="81">Skl_horizon</f>
        <v>5</v>
      </c>
      <c r="F159" s="35">
        <f t="shared" si="81"/>
        <v>5</v>
      </c>
      <c r="G159" s="35">
        <f t="shared" si="81"/>
        <v>5</v>
      </c>
      <c r="H159" s="35">
        <f t="shared" si="81"/>
        <v>5</v>
      </c>
      <c r="I159" s="35">
        <f t="shared" si="81"/>
        <v>5</v>
      </c>
      <c r="J159" s="35">
        <f t="shared" si="81"/>
        <v>5</v>
      </c>
      <c r="K159" s="35">
        <f t="shared" si="81"/>
        <v>5</v>
      </c>
      <c r="L159" s="35">
        <f t="shared" si="81"/>
        <v>5</v>
      </c>
      <c r="M159" s="35">
        <f t="shared" si="81"/>
        <v>5</v>
      </c>
      <c r="N159" s="35">
        <f t="shared" si="81"/>
        <v>5</v>
      </c>
      <c r="O159" s="35">
        <f t="shared" si="81"/>
        <v>5</v>
      </c>
      <c r="P159" s="35">
        <f t="shared" si="81"/>
        <v>5</v>
      </c>
      <c r="Q159" s="35">
        <f t="shared" si="81"/>
        <v>5</v>
      </c>
      <c r="R159" s="35">
        <f t="shared" si="81"/>
        <v>5</v>
      </c>
      <c r="S159" s="35">
        <f t="shared" si="81"/>
        <v>5</v>
      </c>
      <c r="T159" s="35">
        <f t="shared" si="81"/>
        <v>5</v>
      </c>
      <c r="U159" s="35">
        <f t="shared" si="81"/>
        <v>5</v>
      </c>
      <c r="V159" s="35">
        <f t="shared" si="81"/>
        <v>5</v>
      </c>
      <c r="W159" s="35">
        <f t="shared" si="81"/>
        <v>5</v>
      </c>
      <c r="X159" s="35">
        <f t="shared" si="81"/>
        <v>5</v>
      </c>
      <c r="Y159" s="35">
        <f t="shared" si="81"/>
        <v>5</v>
      </c>
    </row>
    <row r="160" spans="1:25" ht="28" x14ac:dyDescent="0.2">
      <c r="A160" s="8" t="s">
        <v>680</v>
      </c>
      <c r="B160" s="6" t="s">
        <v>681</v>
      </c>
      <c r="C160" s="6" t="s">
        <v>548</v>
      </c>
      <c r="D160" s="8" t="s">
        <v>682</v>
      </c>
      <c r="E160" s="35">
        <f t="shared" ref="E160:Y160" si="82">E123*INT((E159-1)/N_battery_life)</f>
        <v>1</v>
      </c>
      <c r="F160" s="35">
        <f t="shared" si="82"/>
        <v>1</v>
      </c>
      <c r="G160" s="35">
        <f t="shared" si="82"/>
        <v>1</v>
      </c>
      <c r="H160" s="35">
        <f t="shared" si="82"/>
        <v>1</v>
      </c>
      <c r="I160" s="35">
        <f t="shared" si="82"/>
        <v>1</v>
      </c>
      <c r="J160" s="35">
        <f t="shared" si="82"/>
        <v>1</v>
      </c>
      <c r="K160" s="35">
        <f t="shared" si="82"/>
        <v>1</v>
      </c>
      <c r="L160" s="35">
        <f t="shared" si="82"/>
        <v>0</v>
      </c>
      <c r="M160" s="35">
        <f t="shared" si="82"/>
        <v>0</v>
      </c>
      <c r="N160" s="35">
        <f t="shared" si="82"/>
        <v>0</v>
      </c>
      <c r="O160" s="35">
        <f t="shared" si="82"/>
        <v>0</v>
      </c>
      <c r="P160" s="35">
        <f t="shared" si="82"/>
        <v>0</v>
      </c>
      <c r="Q160" s="35">
        <f t="shared" si="82"/>
        <v>0</v>
      </c>
      <c r="R160" s="35">
        <f t="shared" si="82"/>
        <v>0</v>
      </c>
      <c r="S160" s="35">
        <f t="shared" si="82"/>
        <v>1</v>
      </c>
      <c r="T160" s="35">
        <f t="shared" si="82"/>
        <v>1</v>
      </c>
      <c r="U160" s="35">
        <f t="shared" si="82"/>
        <v>1</v>
      </c>
      <c r="V160" s="35">
        <f t="shared" si="82"/>
        <v>1</v>
      </c>
      <c r="W160" s="35">
        <f t="shared" si="82"/>
        <v>1</v>
      </c>
      <c r="X160" s="35">
        <f t="shared" si="82"/>
        <v>1</v>
      </c>
      <c r="Y160" s="35">
        <f t="shared" si="82"/>
        <v>1</v>
      </c>
    </row>
    <row r="161" spans="1:25" x14ac:dyDescent="0.2">
      <c r="A161" s="8" t="s">
        <v>683</v>
      </c>
      <c r="B161" s="6" t="s">
        <v>684</v>
      </c>
      <c r="C161" s="6" t="s">
        <v>51</v>
      </c>
      <c r="D161" s="8" t="s">
        <v>685</v>
      </c>
      <c r="E161" s="34">
        <f t="shared" ref="E161:Y161" si="83">E124*N_battery_share</f>
        <v>3240000</v>
      </c>
      <c r="F161" s="34">
        <f t="shared" si="83"/>
        <v>5160000</v>
      </c>
      <c r="G161" s="34">
        <f t="shared" si="83"/>
        <v>7740000</v>
      </c>
      <c r="H161" s="34">
        <f t="shared" si="83"/>
        <v>5160000</v>
      </c>
      <c r="I161" s="34">
        <f t="shared" si="83"/>
        <v>7740000</v>
      </c>
      <c r="J161" s="34">
        <f t="shared" si="83"/>
        <v>6450000</v>
      </c>
      <c r="K161" s="34">
        <f t="shared" si="83"/>
        <v>6450000</v>
      </c>
      <c r="L161" s="34">
        <f t="shared" si="83"/>
        <v>0</v>
      </c>
      <c r="M161" s="34">
        <f t="shared" si="83"/>
        <v>0</v>
      </c>
      <c r="N161" s="34">
        <f t="shared" si="83"/>
        <v>0</v>
      </c>
      <c r="O161" s="34">
        <f t="shared" si="83"/>
        <v>0</v>
      </c>
      <c r="P161" s="34">
        <f t="shared" si="83"/>
        <v>0</v>
      </c>
      <c r="Q161" s="34">
        <f t="shared" si="83"/>
        <v>0</v>
      </c>
      <c r="R161" s="34">
        <f t="shared" si="83"/>
        <v>0</v>
      </c>
      <c r="S161" s="34">
        <f t="shared" si="83"/>
        <v>3240000</v>
      </c>
      <c r="T161" s="34">
        <f t="shared" si="83"/>
        <v>2592000</v>
      </c>
      <c r="U161" s="34">
        <f t="shared" si="83"/>
        <v>3888000</v>
      </c>
      <c r="V161" s="34">
        <f t="shared" si="83"/>
        <v>2430000</v>
      </c>
      <c r="W161" s="34">
        <f t="shared" si="83"/>
        <v>3780000</v>
      </c>
      <c r="X161" s="34">
        <f t="shared" si="83"/>
        <v>3240000</v>
      </c>
      <c r="Y161" s="34">
        <f t="shared" si="83"/>
        <v>3240000</v>
      </c>
    </row>
    <row r="162" spans="1:25" ht="28" x14ac:dyDescent="0.2">
      <c r="A162" s="8" t="s">
        <v>686</v>
      </c>
      <c r="B162" s="6" t="s">
        <v>687</v>
      </c>
      <c r="C162" s="6" t="s">
        <v>51</v>
      </c>
      <c r="D162" s="8" t="s">
        <v>688</v>
      </c>
      <c r="E162" s="34">
        <f t="shared" ref="E162:Y162" si="84">E155*E159-E160*E161</f>
        <v>74207140</v>
      </c>
      <c r="F162" s="34">
        <f t="shared" si="84"/>
        <v>62422150</v>
      </c>
      <c r="G162" s="34">
        <f t="shared" si="84"/>
        <v>46942150</v>
      </c>
      <c r="H162" s="34">
        <f t="shared" si="84"/>
        <v>39058420</v>
      </c>
      <c r="I162" s="34">
        <f t="shared" si="84"/>
        <v>70305880</v>
      </c>
      <c r="J162" s="34">
        <f t="shared" si="84"/>
        <v>35933350</v>
      </c>
      <c r="K162" s="34">
        <f t="shared" si="84"/>
        <v>73430950</v>
      </c>
      <c r="L162" s="34">
        <f t="shared" si="84"/>
        <v>15982150</v>
      </c>
      <c r="M162" s="34">
        <f t="shared" si="84"/>
        <v>31462150</v>
      </c>
      <c r="N162" s="34">
        <f t="shared" si="84"/>
        <v>502150</v>
      </c>
      <c r="O162" s="34">
        <f t="shared" si="84"/>
        <v>8098420</v>
      </c>
      <c r="P162" s="34">
        <f t="shared" si="84"/>
        <v>23865880</v>
      </c>
      <c r="Q162" s="34">
        <f t="shared" si="84"/>
        <v>-2766650</v>
      </c>
      <c r="R162" s="34">
        <f t="shared" si="84"/>
        <v>34730950</v>
      </c>
      <c r="S162" s="34">
        <f t="shared" si="84"/>
        <v>-42972860</v>
      </c>
      <c r="T162" s="34">
        <f t="shared" si="84"/>
        <v>-39084860</v>
      </c>
      <c r="U162" s="34">
        <f t="shared" si="84"/>
        <v>-46860860</v>
      </c>
      <c r="V162" s="34">
        <f t="shared" si="84"/>
        <v>-38088770</v>
      </c>
      <c r="W162" s="34">
        <f t="shared" si="84"/>
        <v>-46228920</v>
      </c>
      <c r="X162" s="34">
        <f t="shared" si="84"/>
        <v>-38285660</v>
      </c>
      <c r="Y162" s="34">
        <f t="shared" si="84"/>
        <v>-47660060</v>
      </c>
    </row>
    <row r="163" spans="1:25" ht="28" x14ac:dyDescent="0.2">
      <c r="A163" s="8" t="s">
        <v>689</v>
      </c>
      <c r="B163" s="37" t="s">
        <v>690</v>
      </c>
      <c r="C163" s="6" t="s">
        <v>558</v>
      </c>
      <c r="D163" s="8" t="s">
        <v>691</v>
      </c>
      <c r="E163" s="43">
        <f t="shared" ref="E163:Y163" si="85">IF(E134&gt;0,E162/E134,"—")</f>
        <v>1.601391911590955</v>
      </c>
      <c r="F163" s="43">
        <f t="shared" si="85"/>
        <v>0.84585896377037928</v>
      </c>
      <c r="G163" s="43">
        <f t="shared" si="85"/>
        <v>0.42408146616695885</v>
      </c>
      <c r="H163" s="43">
        <f t="shared" si="85"/>
        <v>0.52928166688461231</v>
      </c>
      <c r="I163" s="43">
        <f t="shared" si="85"/>
        <v>0.63514611881840177</v>
      </c>
      <c r="J163" s="43">
        <f t="shared" si="85"/>
        <v>0.38954526754213131</v>
      </c>
      <c r="K163" s="43">
        <f t="shared" si="85"/>
        <v>0.79604821325100128</v>
      </c>
      <c r="L163" s="43">
        <f t="shared" si="85"/>
        <v>1.5016513123587694</v>
      </c>
      <c r="M163" s="43">
        <f t="shared" si="85"/>
        <v>3.6951042627032549</v>
      </c>
      <c r="N163" s="43">
        <f t="shared" si="85"/>
        <v>3.9317858834675506E-2</v>
      </c>
      <c r="O163" s="43">
        <f t="shared" si="85"/>
        <v>0.95112718816613917</v>
      </c>
      <c r="P163" s="43">
        <f t="shared" si="85"/>
        <v>1.8686752978299423</v>
      </c>
      <c r="Q163" s="43">
        <f t="shared" si="85"/>
        <v>-0.259948980790281</v>
      </c>
      <c r="R163" s="43">
        <f t="shared" si="85"/>
        <v>3.2632516055078198</v>
      </c>
      <c r="S163" s="43">
        <f t="shared" si="85"/>
        <v>-0.92735537876719798</v>
      </c>
      <c r="T163" s="43">
        <f t="shared" si="85"/>
        <v>-1.0542746356825432</v>
      </c>
      <c r="U163" s="43">
        <f t="shared" si="85"/>
        <v>-0.84273710088291542</v>
      </c>
      <c r="V163" s="43">
        <f t="shared" si="85"/>
        <v>-1.095920448970725</v>
      </c>
      <c r="W163" s="43">
        <f t="shared" si="85"/>
        <v>-0.85510536464908504</v>
      </c>
      <c r="X163" s="43">
        <f t="shared" si="85"/>
        <v>-0.82620548715287179</v>
      </c>
      <c r="Y163" s="43">
        <f t="shared" si="85"/>
        <v>-1.0285052703815241</v>
      </c>
    </row>
    <row r="164" spans="1:25" ht="28" x14ac:dyDescent="0.2">
      <c r="A164" s="8" t="s">
        <v>692</v>
      </c>
      <c r="B164" s="37" t="s">
        <v>693</v>
      </c>
      <c r="C164" s="6" t="s">
        <v>51</v>
      </c>
      <c r="D164" s="8" t="s">
        <v>694</v>
      </c>
      <c r="E164" s="41">
        <f t="shared" ref="E164:Y164" si="86">E134+E146*E159+E160*E161</f>
        <v>89312010</v>
      </c>
      <c r="F164" s="41">
        <f t="shared" si="86"/>
        <v>128555200</v>
      </c>
      <c r="G164" s="41">
        <f t="shared" si="86"/>
        <v>180929200</v>
      </c>
      <c r="H164" s="41">
        <f t="shared" si="86"/>
        <v>128480730</v>
      </c>
      <c r="I164" s="41">
        <f t="shared" si="86"/>
        <v>181002570</v>
      </c>
      <c r="J164" s="41">
        <f t="shared" si="86"/>
        <v>150055000</v>
      </c>
      <c r="K164" s="41">
        <f t="shared" si="86"/>
        <v>159429400</v>
      </c>
      <c r="L164" s="41">
        <f t="shared" si="86"/>
        <v>111840900</v>
      </c>
      <c r="M164" s="41">
        <f t="shared" si="86"/>
        <v>94232400</v>
      </c>
      <c r="N164" s="41">
        <f t="shared" si="86"/>
        <v>129449400</v>
      </c>
      <c r="O164" s="41">
        <f t="shared" si="86"/>
        <v>94160130</v>
      </c>
      <c r="P164" s="41">
        <f t="shared" si="86"/>
        <v>129521670</v>
      </c>
      <c r="Q164" s="41">
        <f t="shared" si="86"/>
        <v>107153700</v>
      </c>
      <c r="R164" s="41">
        <f t="shared" si="86"/>
        <v>116528100</v>
      </c>
      <c r="S164" s="41">
        <f t="shared" si="86"/>
        <v>89312010</v>
      </c>
      <c r="T164" s="41">
        <f t="shared" si="86"/>
        <v>76157610</v>
      </c>
      <c r="U164" s="41">
        <f t="shared" si="86"/>
        <v>102466410</v>
      </c>
      <c r="V164" s="41">
        <f t="shared" si="86"/>
        <v>72843820</v>
      </c>
      <c r="W164" s="41">
        <f t="shared" si="86"/>
        <v>100291170</v>
      </c>
      <c r="X164" s="41">
        <f t="shared" si="86"/>
        <v>84624810</v>
      </c>
      <c r="Y164" s="41">
        <f t="shared" si="86"/>
        <v>93999210</v>
      </c>
    </row>
    <row r="165" spans="1:25" ht="28" x14ac:dyDescent="0.2">
      <c r="A165" s="8" t="s">
        <v>695</v>
      </c>
      <c r="B165" s="6" t="s">
        <v>696</v>
      </c>
      <c r="C165" s="6" t="s">
        <v>51</v>
      </c>
      <c r="D165" s="8" t="s">
        <v>697</v>
      </c>
      <c r="E165" s="34">
        <f t="shared" ref="E165:Y165" si="87">E121*E159</f>
        <v>234360000</v>
      </c>
      <c r="F165" s="34">
        <f t="shared" si="87"/>
        <v>234360000</v>
      </c>
      <c r="G165" s="34">
        <f t="shared" si="87"/>
        <v>234360000</v>
      </c>
      <c r="H165" s="34">
        <f t="shared" si="87"/>
        <v>187488000</v>
      </c>
      <c r="I165" s="34">
        <f t="shared" si="87"/>
        <v>281232000</v>
      </c>
      <c r="J165" s="34">
        <f t="shared" si="87"/>
        <v>187488000</v>
      </c>
      <c r="K165" s="34">
        <f t="shared" si="87"/>
        <v>281232000</v>
      </c>
      <c r="L165" s="34">
        <f t="shared" si="87"/>
        <v>234360000</v>
      </c>
      <c r="M165" s="34">
        <f t="shared" si="87"/>
        <v>234360000</v>
      </c>
      <c r="N165" s="34">
        <f t="shared" si="87"/>
        <v>234360000</v>
      </c>
      <c r="O165" s="34">
        <f t="shared" si="87"/>
        <v>187488000</v>
      </c>
      <c r="P165" s="34">
        <f t="shared" si="87"/>
        <v>281232000</v>
      </c>
      <c r="Q165" s="34">
        <f t="shared" si="87"/>
        <v>187488000</v>
      </c>
      <c r="R165" s="34">
        <f t="shared" si="87"/>
        <v>281232000</v>
      </c>
      <c r="S165" s="34">
        <f t="shared" si="87"/>
        <v>234360000</v>
      </c>
      <c r="T165" s="34">
        <f t="shared" si="87"/>
        <v>234360000</v>
      </c>
      <c r="U165" s="34">
        <f t="shared" si="87"/>
        <v>234360000</v>
      </c>
      <c r="V165" s="34">
        <f t="shared" si="87"/>
        <v>187488000</v>
      </c>
      <c r="W165" s="34">
        <f t="shared" si="87"/>
        <v>281232000</v>
      </c>
      <c r="X165" s="34">
        <f t="shared" si="87"/>
        <v>187488000</v>
      </c>
      <c r="Y165" s="34">
        <f t="shared" si="87"/>
        <v>281232000</v>
      </c>
    </row>
    <row r="166" spans="1:25" ht="28" x14ac:dyDescent="0.2">
      <c r="A166" s="8" t="s">
        <v>698</v>
      </c>
      <c r="B166" s="37" t="s">
        <v>699</v>
      </c>
      <c r="C166" s="6" t="s">
        <v>51</v>
      </c>
      <c r="D166" s="8" t="s">
        <v>700</v>
      </c>
      <c r="E166" s="41">
        <f t="shared" ref="E166:Y166" si="88">E134+E151*E159+E160*E161</f>
        <v>206492010</v>
      </c>
      <c r="F166" s="41">
        <f t="shared" si="88"/>
        <v>245735200</v>
      </c>
      <c r="G166" s="41">
        <f t="shared" si="88"/>
        <v>298109200</v>
      </c>
      <c r="H166" s="41">
        <f t="shared" si="88"/>
        <v>222224730</v>
      </c>
      <c r="I166" s="41">
        <f t="shared" si="88"/>
        <v>321618570</v>
      </c>
      <c r="J166" s="41">
        <f t="shared" si="88"/>
        <v>243799000</v>
      </c>
      <c r="K166" s="41">
        <f t="shared" si="88"/>
        <v>300045400</v>
      </c>
      <c r="L166" s="41">
        <f t="shared" si="88"/>
        <v>229020900</v>
      </c>
      <c r="M166" s="41">
        <f t="shared" si="88"/>
        <v>211412400</v>
      </c>
      <c r="N166" s="41">
        <f t="shared" si="88"/>
        <v>246629400</v>
      </c>
      <c r="O166" s="41">
        <f t="shared" si="88"/>
        <v>187904130</v>
      </c>
      <c r="P166" s="41">
        <f t="shared" si="88"/>
        <v>270137670</v>
      </c>
      <c r="Q166" s="41">
        <f t="shared" si="88"/>
        <v>200897700</v>
      </c>
      <c r="R166" s="41">
        <f t="shared" si="88"/>
        <v>257144100</v>
      </c>
      <c r="S166" s="41">
        <f t="shared" si="88"/>
        <v>323672010</v>
      </c>
      <c r="T166" s="41">
        <f t="shared" si="88"/>
        <v>310517610</v>
      </c>
      <c r="U166" s="41">
        <f t="shared" si="88"/>
        <v>336826410</v>
      </c>
      <c r="V166" s="41">
        <f t="shared" si="88"/>
        <v>260331820</v>
      </c>
      <c r="W166" s="41">
        <f t="shared" si="88"/>
        <v>381523170</v>
      </c>
      <c r="X166" s="41">
        <f t="shared" si="88"/>
        <v>272112810</v>
      </c>
      <c r="Y166" s="41">
        <f t="shared" si="88"/>
        <v>375231210</v>
      </c>
    </row>
    <row r="167" spans="1:25" ht="28" x14ac:dyDescent="0.2">
      <c r="A167" s="8" t="s">
        <v>701</v>
      </c>
      <c r="B167" s="37" t="s">
        <v>702</v>
      </c>
      <c r="C167" s="6" t="s">
        <v>51</v>
      </c>
      <c r="D167" s="8" t="s">
        <v>703</v>
      </c>
      <c r="E167" s="41">
        <f t="shared" ref="E167:Y167" si="89">E166-E165</f>
        <v>-27867990</v>
      </c>
      <c r="F167" s="41">
        <f t="shared" si="89"/>
        <v>11375200</v>
      </c>
      <c r="G167" s="41">
        <f t="shared" si="89"/>
        <v>63749200</v>
      </c>
      <c r="H167" s="41">
        <f t="shared" si="89"/>
        <v>34736730</v>
      </c>
      <c r="I167" s="41">
        <f t="shared" si="89"/>
        <v>40386570</v>
      </c>
      <c r="J167" s="41">
        <f t="shared" si="89"/>
        <v>56311000</v>
      </c>
      <c r="K167" s="41">
        <f t="shared" si="89"/>
        <v>18813400</v>
      </c>
      <c r="L167" s="41">
        <f t="shared" si="89"/>
        <v>-5339100</v>
      </c>
      <c r="M167" s="41">
        <f t="shared" si="89"/>
        <v>-22947600</v>
      </c>
      <c r="N167" s="41">
        <f t="shared" si="89"/>
        <v>12269400</v>
      </c>
      <c r="O167" s="41">
        <f t="shared" si="89"/>
        <v>416130</v>
      </c>
      <c r="P167" s="41">
        <f t="shared" si="89"/>
        <v>-11094330</v>
      </c>
      <c r="Q167" s="41">
        <f t="shared" si="89"/>
        <v>13409700</v>
      </c>
      <c r="R167" s="41">
        <f t="shared" si="89"/>
        <v>-24087900</v>
      </c>
      <c r="S167" s="41">
        <f t="shared" si="89"/>
        <v>89312010</v>
      </c>
      <c r="T167" s="41">
        <f t="shared" si="89"/>
        <v>76157610</v>
      </c>
      <c r="U167" s="41">
        <f t="shared" si="89"/>
        <v>102466410</v>
      </c>
      <c r="V167" s="41">
        <f t="shared" si="89"/>
        <v>72843820</v>
      </c>
      <c r="W167" s="41">
        <f t="shared" si="89"/>
        <v>100291170</v>
      </c>
      <c r="X167" s="41">
        <f t="shared" si="89"/>
        <v>84624810</v>
      </c>
      <c r="Y167" s="41">
        <f t="shared" si="89"/>
        <v>93999210</v>
      </c>
    </row>
    <row r="168" spans="1:25" ht="117" x14ac:dyDescent="0.2">
      <c r="A168" s="8" t="s">
        <v>704</v>
      </c>
      <c r="B168" s="37" t="s">
        <v>705</v>
      </c>
      <c r="C168" s="6"/>
      <c r="D168" s="8" t="s">
        <v>706</v>
      </c>
      <c r="E168" s="44" t="str">
        <f t="shared" ref="E168:Y168" si="90">IF(E95=0,"Не применимо",IF(E155&lt;=0,"Не окупается: годовой эффект ≤ 0",IF(E158&lt;=N_pb_good,"Высокая целесообразность (окупаемость до "&amp;N_pb_good&amp;" лет)",IF(E158&lt;=N_pb_mid,"Средняя целесообразность ("&amp;N_pb_good&amp;"–"&amp;N_pb_mid&amp;" лет) — рекомендован пилот","Низкая целесообразность (более "&amp;N_pb_mid&amp;" лет) — требует уточнения данных"))))</f>
        <v>Средняя целесообразность (2–4 лет) — рекомендован пилот</v>
      </c>
      <c r="F168" s="44" t="str">
        <f t="shared" si="90"/>
        <v>Низкая целесообразность (более 4 лет) — требует уточнения данных</v>
      </c>
      <c r="G168" s="44" t="str">
        <f t="shared" si="90"/>
        <v>Низкая целесообразность (более 4 лет) — требует уточнения данных</v>
      </c>
      <c r="H168" s="44" t="str">
        <f t="shared" si="90"/>
        <v>Низкая целесообразность (более 4 лет) — требует уточнения данных</v>
      </c>
      <c r="I168" s="44" t="str">
        <f t="shared" si="90"/>
        <v>Низкая целесообразность (более 4 лет) — требует уточнения данных</v>
      </c>
      <c r="J168" s="44" t="str">
        <f t="shared" si="90"/>
        <v>Низкая целесообразность (более 4 лет) — требует уточнения данных</v>
      </c>
      <c r="K168" s="44" t="str">
        <f t="shared" si="90"/>
        <v>Низкая целесообразность (более 4 лет) — требует уточнения данных</v>
      </c>
      <c r="L168" s="44" t="str">
        <f t="shared" si="90"/>
        <v>Средняя целесообразность (2–4 лет) — рекомендован пилот</v>
      </c>
      <c r="M168" s="44" t="str">
        <f t="shared" si="90"/>
        <v>Высокая целесообразность (окупаемость до 2 лет)</v>
      </c>
      <c r="N168" s="44" t="str">
        <f t="shared" si="90"/>
        <v>Низкая целесообразность (более 4 лет) — требует уточнения данных</v>
      </c>
      <c r="O168" s="44" t="str">
        <f t="shared" si="90"/>
        <v>Низкая целесообразность (более 4 лет) — требует уточнения данных</v>
      </c>
      <c r="P168" s="44" t="str">
        <f t="shared" si="90"/>
        <v>Средняя целесообразность (2–4 лет) — рекомендован пилот</v>
      </c>
      <c r="Q168" s="44" t="str">
        <f t="shared" si="90"/>
        <v>Не окупается: годовой эффект ≤ 0</v>
      </c>
      <c r="R168" s="44" t="str">
        <f t="shared" si="90"/>
        <v>Высокая целесообразность (окупаемость до 2 лет)</v>
      </c>
      <c r="S168" s="44" t="str">
        <f t="shared" si="90"/>
        <v>Не окупается: годовой эффект ≤ 0</v>
      </c>
      <c r="T168" s="44" t="str">
        <f t="shared" si="90"/>
        <v>Не окупается: годовой эффект ≤ 0</v>
      </c>
      <c r="U168" s="44" t="str">
        <f t="shared" si="90"/>
        <v>Не окупается: годовой эффект ≤ 0</v>
      </c>
      <c r="V168" s="44" t="str">
        <f t="shared" si="90"/>
        <v>Не окупается: годовой эффект ≤ 0</v>
      </c>
      <c r="W168" s="44" t="str">
        <f t="shared" si="90"/>
        <v>Не окупается: годовой эффект ≤ 0</v>
      </c>
      <c r="X168" s="44" t="str">
        <f t="shared" si="90"/>
        <v>Не окупается: годовой эффект ≤ 0</v>
      </c>
      <c r="Y168" s="44" t="str">
        <f t="shared" si="90"/>
        <v>Не окупается: годовой эффект ≤ 0</v>
      </c>
    </row>
    <row r="169" spans="1:25" ht="143" x14ac:dyDescent="0.2">
      <c r="A169" s="8" t="s">
        <v>707</v>
      </c>
      <c r="B169" s="6" t="s">
        <v>708</v>
      </c>
      <c r="C169" s="6"/>
      <c r="D169" s="8" t="s">
        <v>709</v>
      </c>
      <c r="E169" s="6" t="str">
        <f t="shared" ref="E169:Y169" si="91">IF(E72&lt;&gt;"operation","Зрелость: статус «"&amp;E72&amp;"»; ","")&amp;IF(E73&lt;&gt;"Да","ТТХ требуют подтверждения; ","")&amp;IF(E135="Превышает бюджет","CAPEX выше планового бюджета; ","")&amp;IF(E118&lt;&gt;"ОК","недостаточно мощности для зарядки; ","")&amp;IF(E116&lt;0.3,"низкая среднесуточная загрузка парка (парк рассчитан на пик) — рассмотреть частичную роботизацию или RaaS; ","")</f>
        <v/>
      </c>
      <c r="F169" s="6" t="str">
        <f t="shared" si="91"/>
        <v xml:space="preserve">Зрелость: статус «piloting»; ТТХ требуют подтверждения; </v>
      </c>
      <c r="G169" s="6" t="str">
        <f t="shared" si="91"/>
        <v xml:space="preserve">Зрелость: статус «piloting»; ТТХ требуют подтверждения; CAPEX выше планового бюджета; </v>
      </c>
      <c r="H169" s="6" t="str">
        <f t="shared" si="91"/>
        <v xml:space="preserve">Зрелость: статус «piloting»; ТТХ требуют подтверждения; </v>
      </c>
      <c r="I169" s="6" t="str">
        <f t="shared" si="91"/>
        <v xml:space="preserve">Зрелость: статус «piloting»; ТТХ требуют подтверждения; CAPEX выше планового бюджета; </v>
      </c>
      <c r="J169" s="6" t="str">
        <f t="shared" si="91"/>
        <v xml:space="preserve">Зрелость: статус «piloting»; ТТХ требуют подтверждения; CAPEX выше планового бюджета; </v>
      </c>
      <c r="K169" s="6" t="str">
        <f t="shared" si="91"/>
        <v xml:space="preserve">Зрелость: статус «piloting»; ТТХ требуют подтверждения; CAPEX выше планового бюджета; </v>
      </c>
      <c r="L169" s="6" t="str">
        <f t="shared" si="91"/>
        <v xml:space="preserve">Зрелость: статус «piloting»; ТТХ требуют подтверждения; </v>
      </c>
      <c r="M169" s="6" t="str">
        <f t="shared" si="91"/>
        <v xml:space="preserve">Зрелость: статус «piloting»; ТТХ требуют подтверждения; </v>
      </c>
      <c r="N169" s="6" t="str">
        <f t="shared" si="91"/>
        <v xml:space="preserve">Зрелость: статус «piloting»; ТТХ требуют подтверждения; </v>
      </c>
      <c r="O169" s="6" t="str">
        <f t="shared" si="91"/>
        <v xml:space="preserve">Зрелость: статус «piloting»; ТТХ требуют подтверждения; </v>
      </c>
      <c r="P169" s="6" t="str">
        <f t="shared" si="91"/>
        <v xml:space="preserve">Зрелость: статус «piloting»; ТТХ требуют подтверждения; </v>
      </c>
      <c r="Q169" s="6" t="str">
        <f t="shared" si="91"/>
        <v xml:space="preserve">Зрелость: статус «piloting»; ТТХ требуют подтверждения; </v>
      </c>
      <c r="R169" s="6" t="str">
        <f t="shared" si="91"/>
        <v xml:space="preserve">Зрелость: статус «piloting»; ТТХ требуют подтверждения; </v>
      </c>
      <c r="S169" s="6" t="str">
        <f t="shared" si="91"/>
        <v/>
      </c>
      <c r="T169" s="6" t="str">
        <f t="shared" si="91"/>
        <v/>
      </c>
      <c r="U169" s="6" t="str">
        <f t="shared" si="91"/>
        <v/>
      </c>
      <c r="V169" s="6" t="str">
        <f t="shared" si="91"/>
        <v/>
      </c>
      <c r="W169" s="6" t="str">
        <f t="shared" si="91"/>
        <v/>
      </c>
      <c r="X169" s="6" t="str">
        <f t="shared" si="91"/>
        <v/>
      </c>
      <c r="Y169" s="6" t="str">
        <f t="shared" si="91"/>
        <v/>
      </c>
    </row>
    <row r="171" spans="1:25" ht="18" customHeight="1" x14ac:dyDescent="0.2">
      <c r="A171" s="18" t="s">
        <v>710</v>
      </c>
      <c r="B171" s="18"/>
      <c r="C171" s="18"/>
      <c r="D171" s="18"/>
      <c r="E171" s="18"/>
      <c r="F171" s="18"/>
      <c r="G171" s="18"/>
      <c r="H171" s="18"/>
    </row>
    <row r="172" spans="1:25" ht="30" customHeight="1" x14ac:dyDescent="0.2">
      <c r="A172" s="5"/>
      <c r="B172" s="5" t="s">
        <v>711</v>
      </c>
      <c r="C172" s="5" t="s">
        <v>20</v>
      </c>
      <c r="D172" s="5" t="s">
        <v>712</v>
      </c>
      <c r="E172" s="5" t="s">
        <v>408</v>
      </c>
      <c r="F172" s="5" t="s">
        <v>409</v>
      </c>
      <c r="G172" s="5" t="s">
        <v>410</v>
      </c>
    </row>
    <row r="173" spans="1:25" ht="28" x14ac:dyDescent="0.2">
      <c r="B173" s="44" t="s">
        <v>713</v>
      </c>
      <c r="C173" s="45"/>
      <c r="D173" s="46" t="s">
        <v>197</v>
      </c>
      <c r="E173" s="45" t="str">
        <f>E71</f>
        <v>Ronavi H1500 (AMR, до 1500 кг)</v>
      </c>
      <c r="F173" s="45" t="str">
        <f>L71</f>
        <v>DMR Carrier P (FMR, вилочный AMR)</v>
      </c>
      <c r="G173" s="45" t="str">
        <f>S71</f>
        <v>Ronavi H1500 (AMR, до 1500 кг)</v>
      </c>
    </row>
    <row r="174" spans="1:25" ht="16" x14ac:dyDescent="0.2">
      <c r="B174" s="44" t="s">
        <v>714</v>
      </c>
      <c r="C174" s="45"/>
      <c r="D174" s="46" t="s">
        <v>197</v>
      </c>
      <c r="E174" s="45" t="str">
        <f>E72</f>
        <v>operation</v>
      </c>
      <c r="F174" s="45" t="str">
        <f>L72</f>
        <v>piloting</v>
      </c>
      <c r="G174" s="45" t="str">
        <f>S72</f>
        <v>operation</v>
      </c>
    </row>
    <row r="175" spans="1:25" ht="56" x14ac:dyDescent="0.2">
      <c r="B175" s="44" t="s">
        <v>715</v>
      </c>
      <c r="C175" s="45"/>
      <c r="D175" s="46" t="s">
        <v>197</v>
      </c>
      <c r="E175" s="45" t="str">
        <f>E96</f>
        <v>Применимо: все ключевые ограничения выполнены</v>
      </c>
      <c r="F175" s="45" t="str">
        <f>L96</f>
        <v>Применимо: все ключевые ограничения выполнены</v>
      </c>
      <c r="G175" s="45" t="str">
        <f>S96</f>
        <v>Применимо: все ключевые ограничения выполнены</v>
      </c>
    </row>
    <row r="176" spans="1:25" x14ac:dyDescent="0.2">
      <c r="B176" s="44" t="s">
        <v>716</v>
      </c>
      <c r="C176" s="45" t="s">
        <v>548</v>
      </c>
      <c r="D176" s="47">
        <v>0</v>
      </c>
      <c r="E176" s="48">
        <f>E113</f>
        <v>12</v>
      </c>
      <c r="F176" s="48">
        <f>L113</f>
        <v>15</v>
      </c>
      <c r="G176" s="48">
        <f>S113</f>
        <v>12</v>
      </c>
    </row>
    <row r="177" spans="2:7" x14ac:dyDescent="0.2">
      <c r="B177" s="44" t="s">
        <v>717</v>
      </c>
      <c r="C177" s="45" t="s">
        <v>548</v>
      </c>
      <c r="D177" s="47">
        <v>0</v>
      </c>
      <c r="E177" s="48">
        <f>E114</f>
        <v>6</v>
      </c>
      <c r="F177" s="48">
        <f>L114</f>
        <v>8</v>
      </c>
      <c r="G177" s="48">
        <f>S114</f>
        <v>6</v>
      </c>
    </row>
    <row r="178" spans="2:7" x14ac:dyDescent="0.2">
      <c r="B178" s="44" t="s">
        <v>718</v>
      </c>
      <c r="C178" s="45" t="s">
        <v>51</v>
      </c>
      <c r="D178" s="49">
        <v>0</v>
      </c>
      <c r="E178" s="50">
        <f>E134</f>
        <v>46339150</v>
      </c>
      <c r="F178" s="50">
        <f>L134</f>
        <v>10643050</v>
      </c>
      <c r="G178" s="50">
        <f>S134</f>
        <v>46339150</v>
      </c>
    </row>
    <row r="179" spans="2:7" ht="16" x14ac:dyDescent="0.2">
      <c r="B179" s="44" t="s">
        <v>719</v>
      </c>
      <c r="C179" s="45"/>
      <c r="D179" s="46" t="s">
        <v>197</v>
      </c>
      <c r="E179" s="45" t="str">
        <f>E135</f>
        <v>В бюджете</v>
      </c>
      <c r="F179" s="45" t="str">
        <f>L135</f>
        <v>В бюджете</v>
      </c>
      <c r="G179" s="45" t="str">
        <f>S135</f>
        <v>В бюджете</v>
      </c>
    </row>
    <row r="180" spans="2:7" x14ac:dyDescent="0.2">
      <c r="B180" s="44" t="s">
        <v>720</v>
      </c>
      <c r="C180" s="45" t="s">
        <v>91</v>
      </c>
      <c r="D180" s="49">
        <f>E121</f>
        <v>46872000</v>
      </c>
      <c r="E180" s="50">
        <f>E151</f>
        <v>31382572</v>
      </c>
      <c r="F180" s="50">
        <f>L151</f>
        <v>43675570</v>
      </c>
      <c r="G180" s="50">
        <f>S151</f>
        <v>54818572</v>
      </c>
    </row>
    <row r="181" spans="2:7" x14ac:dyDescent="0.2">
      <c r="B181" s="44" t="s">
        <v>721</v>
      </c>
      <c r="C181" s="45" t="s">
        <v>91</v>
      </c>
      <c r="D181" s="49">
        <v>0</v>
      </c>
      <c r="E181" s="50">
        <f>E146</f>
        <v>7946572</v>
      </c>
      <c r="F181" s="50">
        <f>L146</f>
        <v>20239570</v>
      </c>
      <c r="G181" s="50">
        <f>S146</f>
        <v>7946572</v>
      </c>
    </row>
    <row r="182" spans="2:7" x14ac:dyDescent="0.2">
      <c r="B182" s="44" t="s">
        <v>722</v>
      </c>
      <c r="C182" s="45" t="s">
        <v>91</v>
      </c>
      <c r="D182" s="49">
        <v>0</v>
      </c>
      <c r="E182" s="50">
        <f>E152</f>
        <v>-15489428</v>
      </c>
      <c r="F182" s="50">
        <f>L152</f>
        <v>-3196430</v>
      </c>
      <c r="G182" s="50">
        <f>S152</f>
        <v>7946572</v>
      </c>
    </row>
    <row r="183" spans="2:7" x14ac:dyDescent="0.2">
      <c r="B183" s="44" t="s">
        <v>723</v>
      </c>
      <c r="C183" s="45" t="s">
        <v>374</v>
      </c>
      <c r="D183" s="51">
        <v>0</v>
      </c>
      <c r="E183" s="52">
        <f>E148</f>
        <v>12.5</v>
      </c>
      <c r="F183" s="52">
        <f>L148</f>
        <v>12.5</v>
      </c>
      <c r="G183" s="52">
        <f>S148</f>
        <v>0</v>
      </c>
    </row>
    <row r="184" spans="2:7" x14ac:dyDescent="0.2">
      <c r="B184" s="44" t="s">
        <v>724</v>
      </c>
      <c r="C184" s="45" t="s">
        <v>91</v>
      </c>
      <c r="D184" s="49">
        <v>0</v>
      </c>
      <c r="E184" s="50">
        <f>E155</f>
        <v>15489428</v>
      </c>
      <c r="F184" s="50">
        <f>L155</f>
        <v>3196430</v>
      </c>
      <c r="G184" s="50">
        <f>S155</f>
        <v>-7946572</v>
      </c>
    </row>
    <row r="185" spans="2:7" x14ac:dyDescent="0.2">
      <c r="B185" s="44" t="s">
        <v>725</v>
      </c>
      <c r="C185" s="45" t="s">
        <v>91</v>
      </c>
      <c r="D185" s="49">
        <v>0</v>
      </c>
      <c r="E185" s="50">
        <f>E157</f>
        <v>10855513</v>
      </c>
      <c r="F185" s="50">
        <f>L157</f>
        <v>3196430</v>
      </c>
      <c r="G185" s="50">
        <f>S157</f>
        <v>-12580487</v>
      </c>
    </row>
    <row r="186" spans="2:7" ht="16" x14ac:dyDescent="0.2">
      <c r="B186" s="44" t="s">
        <v>726</v>
      </c>
      <c r="C186" s="45" t="s">
        <v>85</v>
      </c>
      <c r="D186" s="51" t="s">
        <v>197</v>
      </c>
      <c r="E186" s="52">
        <f>E158</f>
        <v>2.9916630878816184</v>
      </c>
      <c r="F186" s="52">
        <f>L158</f>
        <v>3.3296677856233359</v>
      </c>
      <c r="G186" s="52" t="str">
        <f>S158</f>
        <v>не окупается</v>
      </c>
    </row>
    <row r="187" spans="2:7" ht="16" x14ac:dyDescent="0.2">
      <c r="B187" s="44" t="s">
        <v>727</v>
      </c>
      <c r="C187" s="45" t="s">
        <v>558</v>
      </c>
      <c r="D187" s="53" t="s">
        <v>197</v>
      </c>
      <c r="E187" s="54">
        <f>E163</f>
        <v>1.601391911590955</v>
      </c>
      <c r="F187" s="54">
        <f>L163</f>
        <v>1.5016513123587694</v>
      </c>
      <c r="G187" s="54">
        <f>S163</f>
        <v>-0.92735537876719798</v>
      </c>
    </row>
    <row r="188" spans="2:7" x14ac:dyDescent="0.2">
      <c r="B188" s="44" t="s">
        <v>728</v>
      </c>
      <c r="C188" s="45" t="s">
        <v>51</v>
      </c>
      <c r="D188" s="49">
        <v>0</v>
      </c>
      <c r="E188" s="50">
        <f>E164</f>
        <v>89312010</v>
      </c>
      <c r="F188" s="50">
        <f>L164</f>
        <v>111840900</v>
      </c>
      <c r="G188" s="50">
        <f>S164</f>
        <v>89312010</v>
      </c>
    </row>
    <row r="189" spans="2:7" ht="28" x14ac:dyDescent="0.2">
      <c r="B189" s="44" t="s">
        <v>729</v>
      </c>
      <c r="C189" s="45" t="s">
        <v>51</v>
      </c>
      <c r="D189" s="49">
        <f>E165</f>
        <v>234360000</v>
      </c>
      <c r="E189" s="50">
        <f>E166</f>
        <v>206492010</v>
      </c>
      <c r="F189" s="50">
        <f>L166</f>
        <v>229020900</v>
      </c>
      <c r="G189" s="50">
        <f>S166</f>
        <v>323672010</v>
      </c>
    </row>
    <row r="190" spans="2:7" ht="56" x14ac:dyDescent="0.2">
      <c r="B190" s="44" t="s">
        <v>730</v>
      </c>
      <c r="C190" s="45"/>
      <c r="D190" s="46" t="s">
        <v>731</v>
      </c>
      <c r="E190" s="45" t="str">
        <f>E168</f>
        <v>Средняя целесообразность (2–4 лет) — рекомендован пилот</v>
      </c>
      <c r="F190" s="45" t="str">
        <f>L168</f>
        <v>Средняя целесообразность (2–4 лет) — рекомендован пилот</v>
      </c>
      <c r="G190" s="45" t="str">
        <f>S168</f>
        <v>Не окупается: годовой эффект ≤ 0</v>
      </c>
    </row>
    <row r="191" spans="2:7" ht="56" x14ac:dyDescent="0.2">
      <c r="B191" s="44" t="s">
        <v>732</v>
      </c>
      <c r="C191" s="45"/>
      <c r="D191" s="46" t="s">
        <v>197</v>
      </c>
      <c r="E191" s="45" t="str">
        <f>E169</f>
        <v/>
      </c>
      <c r="F191" s="45" t="str">
        <f>L169</f>
        <v xml:space="preserve">Зрелость: статус «piloting»; ТТХ требуют подтверждения; </v>
      </c>
      <c r="G191" s="45" t="str">
        <f>S169</f>
        <v/>
      </c>
    </row>
    <row r="193" spans="1:11" ht="18" customHeight="1" x14ac:dyDescent="0.2">
      <c r="A193" s="18" t="s">
        <v>733</v>
      </c>
      <c r="B193" s="18"/>
      <c r="C193" s="18"/>
      <c r="D193" s="18"/>
      <c r="E193" s="18"/>
      <c r="F193" s="18"/>
      <c r="G193" s="18"/>
      <c r="H193" s="18"/>
    </row>
    <row r="194" spans="1:11" ht="30" customHeight="1" x14ac:dyDescent="0.2">
      <c r="A194" s="5"/>
      <c r="B194" s="5" t="s">
        <v>734</v>
      </c>
      <c r="C194" s="5" t="s">
        <v>735</v>
      </c>
      <c r="D194" s="5" t="s">
        <v>736</v>
      </c>
      <c r="E194" s="5" t="s">
        <v>737</v>
      </c>
      <c r="F194" s="5" t="s">
        <v>738</v>
      </c>
      <c r="G194" s="5" t="s">
        <v>739</v>
      </c>
      <c r="H194" s="5" t="s">
        <v>740</v>
      </c>
      <c r="I194" s="5" t="s">
        <v>741</v>
      </c>
      <c r="J194" s="5" t="s">
        <v>742</v>
      </c>
      <c r="K194" s="5" t="s">
        <v>743</v>
      </c>
    </row>
    <row r="195" spans="1:11" x14ac:dyDescent="0.2">
      <c r="B195" s="55">
        <v>0</v>
      </c>
      <c r="C195" s="56">
        <f>-E134</f>
        <v>-46339150</v>
      </c>
      <c r="D195" s="56">
        <f>C195</f>
        <v>-46339150</v>
      </c>
      <c r="E195" s="56">
        <f>C195</f>
        <v>-46339150</v>
      </c>
      <c r="F195" s="56">
        <f>-L134</f>
        <v>-10643050</v>
      </c>
      <c r="G195" s="56">
        <f>F195</f>
        <v>-10643050</v>
      </c>
      <c r="H195" s="56">
        <f>F195</f>
        <v>-10643050</v>
      </c>
      <c r="I195" s="56">
        <f>-S134</f>
        <v>-46339150</v>
      </c>
      <c r="J195" s="56">
        <f>I195</f>
        <v>-46339150</v>
      </c>
      <c r="K195" s="56">
        <f>I195</f>
        <v>-46339150</v>
      </c>
    </row>
    <row r="196" spans="1:11" x14ac:dyDescent="0.2">
      <c r="B196" s="55">
        <v>1</v>
      </c>
      <c r="C196" s="56">
        <f>IF(1&lt;=E159,E155-IF(AND(E123=1,MOD(1,N_battery_life)=0,1&lt;=E159-1),E161,0),0)</f>
        <v>15489428</v>
      </c>
      <c r="D196" s="56">
        <f t="shared" ref="D196:D205" si="92">D195+C196</f>
        <v>-30849722</v>
      </c>
      <c r="E196" s="56">
        <f>E195+C196/(1+N_discount)^1</f>
        <v>-32257851.81818182</v>
      </c>
      <c r="F196" s="56">
        <f>IF(1&lt;=L159,L155-IF(AND(L123=1,MOD(1,N_battery_life)=0,1&lt;=L159-1),L161,0),0)</f>
        <v>3196430</v>
      </c>
      <c r="G196" s="56">
        <f t="shared" ref="G196:G205" si="93">G195+F196</f>
        <v>-7446620</v>
      </c>
      <c r="H196" s="56">
        <f>H195+F196/(1+N_discount)^1</f>
        <v>-7737204.5454545459</v>
      </c>
      <c r="I196" s="56">
        <f>IF(1&lt;=S159,S155-IF(AND(S123=1,MOD(1,N_battery_life)=0,1&lt;=S159-1),S161,0),0)</f>
        <v>-7946572</v>
      </c>
      <c r="J196" s="56">
        <f t="shared" ref="J196:J205" si="94">J195+I196</f>
        <v>-54285722</v>
      </c>
      <c r="K196" s="56">
        <f>K195+I196/(1+N_discount)^1</f>
        <v>-53563306.36363636</v>
      </c>
    </row>
    <row r="197" spans="1:11" x14ac:dyDescent="0.2">
      <c r="B197" s="55">
        <v>2</v>
      </c>
      <c r="C197" s="56">
        <f>IF(2&lt;=E159,E155-IF(AND(E123=1,MOD(2,N_battery_life)=0,2&lt;=E159-1),E161,0),0)</f>
        <v>15489428</v>
      </c>
      <c r="D197" s="56">
        <f t="shared" si="92"/>
        <v>-15360294</v>
      </c>
      <c r="E197" s="56">
        <f>E196+C197/(1+N_discount)^2</f>
        <v>-19456671.652892567</v>
      </c>
      <c r="F197" s="56">
        <f>IF(2&lt;=L159,L155-IF(AND(L123=1,MOD(2,N_battery_life)=0,2&lt;=L159-1),L161,0),0)</f>
        <v>3196430</v>
      </c>
      <c r="G197" s="56">
        <f t="shared" si="93"/>
        <v>-4250190</v>
      </c>
      <c r="H197" s="56">
        <f>H196+F197/(1+N_discount)^2</f>
        <v>-5095526.8595041335</v>
      </c>
      <c r="I197" s="56">
        <f>IF(2&lt;=S159,S155-IF(AND(S123=1,MOD(2,N_battery_life)=0,2&lt;=S159-1),S161,0),0)</f>
        <v>-7946572</v>
      </c>
      <c r="J197" s="56">
        <f t="shared" si="94"/>
        <v>-62232294</v>
      </c>
      <c r="K197" s="56">
        <f>K196+I197/(1+N_discount)^2</f>
        <v>-60130721.239669412</v>
      </c>
    </row>
    <row r="198" spans="1:11" x14ac:dyDescent="0.2">
      <c r="B198" s="55">
        <v>3</v>
      </c>
      <c r="C198" s="56">
        <f>IF(3&lt;=E159,E155-IF(AND(E123=1,MOD(3,N_battery_life)=0,3&lt;=E159-1),E161,0),0)</f>
        <v>15489428</v>
      </c>
      <c r="D198" s="56">
        <f t="shared" si="92"/>
        <v>129134</v>
      </c>
      <c r="E198" s="56">
        <f>E197+C198/(1+N_discount)^3</f>
        <v>-7819235.1389932465</v>
      </c>
      <c r="F198" s="56">
        <f>IF(3&lt;=L159,L155-IF(AND(L123=1,MOD(3,N_battery_life)=0,3&lt;=L159-1),L161,0),0)</f>
        <v>3196430</v>
      </c>
      <c r="G198" s="56">
        <f t="shared" si="93"/>
        <v>-1053760</v>
      </c>
      <c r="H198" s="56">
        <f>H197+F198/(1+N_discount)^3</f>
        <v>-2694001.6904583038</v>
      </c>
      <c r="I198" s="56">
        <f>IF(3&lt;=S159,S155-IF(AND(S123=1,MOD(3,N_battery_life)=0,3&lt;=S159-1),S161,0),0)</f>
        <v>-7946572</v>
      </c>
      <c r="J198" s="56">
        <f t="shared" si="94"/>
        <v>-70178866</v>
      </c>
      <c r="K198" s="56">
        <f>K197+I198/(1+N_discount)^3</f>
        <v>-66101098.399699464</v>
      </c>
    </row>
    <row r="199" spans="1:11" x14ac:dyDescent="0.2">
      <c r="B199" s="55">
        <v>4</v>
      </c>
      <c r="C199" s="56">
        <f>IF(4&lt;=E159,E155-IF(AND(E123=1,MOD(4,N_battery_life)=0,4&lt;=E159-1),E161,0),0)</f>
        <v>12249428</v>
      </c>
      <c r="D199" s="56">
        <f t="shared" si="92"/>
        <v>12378562</v>
      </c>
      <c r="E199" s="56">
        <f>E198+C199/(1+N_discount)^4</f>
        <v>547289.00553239882</v>
      </c>
      <c r="F199" s="56">
        <f>IF(4&lt;=L159,L155-IF(AND(L123=1,MOD(4,N_battery_life)=0,4&lt;=L159-1),L161,0),0)</f>
        <v>3196430</v>
      </c>
      <c r="G199" s="56">
        <f t="shared" si="93"/>
        <v>2142670</v>
      </c>
      <c r="H199" s="56">
        <f>H198+F199/(1+N_discount)^4</f>
        <v>-510796.99132573139</v>
      </c>
      <c r="I199" s="56">
        <f>IF(4&lt;=S159,S155-IF(AND(S123=1,MOD(4,N_battery_life)=0,4&lt;=S159-1),S161,0),0)</f>
        <v>-11186572</v>
      </c>
      <c r="J199" s="56">
        <f t="shared" si="94"/>
        <v>-81365438</v>
      </c>
      <c r="K199" s="56">
        <f>K198+I199/(1+N_discount)^4</f>
        <v>-73741677.595109612</v>
      </c>
    </row>
    <row r="200" spans="1:11" x14ac:dyDescent="0.2">
      <c r="B200" s="55">
        <v>5</v>
      </c>
      <c r="C200" s="56">
        <f>IF(5&lt;=E159,E155-IF(AND(E123=1,MOD(5,N_battery_life)=0,5&lt;=E159-1),E161,0),0)</f>
        <v>15489428</v>
      </c>
      <c r="D200" s="56">
        <f t="shared" si="92"/>
        <v>27867990</v>
      </c>
      <c r="E200" s="56">
        <f>E199+C200/(1+N_discount)^5</f>
        <v>10165005.13272192</v>
      </c>
      <c r="F200" s="56">
        <f>IF(5&lt;=L159,L155-IF(AND(L123=1,MOD(5,N_battery_life)=0,5&lt;=L159-1),L161,0),0)</f>
        <v>3196430</v>
      </c>
      <c r="G200" s="56">
        <f t="shared" si="93"/>
        <v>5339100</v>
      </c>
      <c r="H200" s="56">
        <f>H199+F200/(1+N_discount)^5</f>
        <v>1473934.5533402434</v>
      </c>
      <c r="I200" s="56">
        <f>IF(5&lt;=S159,S155-IF(AND(S123=1,MOD(5,N_battery_life)=0,5&lt;=S159-1),S161,0),0)</f>
        <v>-7946572</v>
      </c>
      <c r="J200" s="56">
        <f t="shared" si="94"/>
        <v>-89312010</v>
      </c>
      <c r="K200" s="56">
        <f>K199+I200/(1+N_discount)^5</f>
        <v>-78675873.595134452</v>
      </c>
    </row>
    <row r="201" spans="1:11" x14ac:dyDescent="0.2">
      <c r="B201" s="55">
        <v>6</v>
      </c>
      <c r="C201" s="56">
        <f>IF(6&lt;=E159,E155-IF(AND(E123=1,MOD(6,N_battery_life)=0,6&lt;=E159-1),E161,0),0)</f>
        <v>0</v>
      </c>
      <c r="D201" s="56">
        <f t="shared" si="92"/>
        <v>27867990</v>
      </c>
      <c r="E201" s="56">
        <f>E200+C201/(1+N_discount)^6</f>
        <v>10165005.13272192</v>
      </c>
      <c r="F201" s="56">
        <f>IF(6&lt;=L159,L155-IF(AND(L123=1,MOD(6,N_battery_life)=0,6&lt;=L159-1),L161,0),0)</f>
        <v>0</v>
      </c>
      <c r="G201" s="56">
        <f t="shared" si="93"/>
        <v>5339100</v>
      </c>
      <c r="H201" s="56">
        <f>H200+F201/(1+N_discount)^6</f>
        <v>1473934.5533402434</v>
      </c>
      <c r="I201" s="56">
        <f>IF(6&lt;=S159,S155-IF(AND(S123=1,MOD(6,N_battery_life)=0,6&lt;=S159-1),S161,0),0)</f>
        <v>0</v>
      </c>
      <c r="J201" s="56">
        <f t="shared" si="94"/>
        <v>-89312010</v>
      </c>
      <c r="K201" s="56">
        <f>K200+I201/(1+N_discount)^6</f>
        <v>-78675873.595134452</v>
      </c>
    </row>
    <row r="202" spans="1:11" x14ac:dyDescent="0.2">
      <c r="B202" s="55">
        <v>7</v>
      </c>
      <c r="C202" s="56">
        <f>IF(7&lt;=E159,E155-IF(AND(E123=1,MOD(7,N_battery_life)=0,7&lt;=E159-1),E161,0),0)</f>
        <v>0</v>
      </c>
      <c r="D202" s="56">
        <f t="shared" si="92"/>
        <v>27867990</v>
      </c>
      <c r="E202" s="56">
        <f>E201+C202/(1+N_discount)^7</f>
        <v>10165005.13272192</v>
      </c>
      <c r="F202" s="56">
        <f>IF(7&lt;=L159,L155-IF(AND(L123=1,MOD(7,N_battery_life)=0,7&lt;=L159-1),L161,0),0)</f>
        <v>0</v>
      </c>
      <c r="G202" s="56">
        <f t="shared" si="93"/>
        <v>5339100</v>
      </c>
      <c r="H202" s="56">
        <f>H201+F202/(1+N_discount)^7</f>
        <v>1473934.5533402434</v>
      </c>
      <c r="I202" s="56">
        <f>IF(7&lt;=S159,S155-IF(AND(S123=1,MOD(7,N_battery_life)=0,7&lt;=S159-1),S161,0),0)</f>
        <v>0</v>
      </c>
      <c r="J202" s="56">
        <f t="shared" si="94"/>
        <v>-89312010</v>
      </c>
      <c r="K202" s="56">
        <f>K201+I202/(1+N_discount)^7</f>
        <v>-78675873.595134452</v>
      </c>
    </row>
    <row r="203" spans="1:11" x14ac:dyDescent="0.2">
      <c r="B203" s="55">
        <v>8</v>
      </c>
      <c r="C203" s="56">
        <f>IF(8&lt;=E159,E155-IF(AND(E123=1,MOD(8,N_battery_life)=0,8&lt;=E159-1),E161,0),0)</f>
        <v>0</v>
      </c>
      <c r="D203" s="56">
        <f t="shared" si="92"/>
        <v>27867990</v>
      </c>
      <c r="E203" s="56">
        <f>E202+C203/(1+N_discount)^8</f>
        <v>10165005.13272192</v>
      </c>
      <c r="F203" s="56">
        <f>IF(8&lt;=L159,L155-IF(AND(L123=1,MOD(8,N_battery_life)=0,8&lt;=L159-1),L161,0),0)</f>
        <v>0</v>
      </c>
      <c r="G203" s="56">
        <f t="shared" si="93"/>
        <v>5339100</v>
      </c>
      <c r="H203" s="56">
        <f>H202+F203/(1+N_discount)^8</f>
        <v>1473934.5533402434</v>
      </c>
      <c r="I203" s="56">
        <f>IF(8&lt;=S159,S155-IF(AND(S123=1,MOD(8,N_battery_life)=0,8&lt;=S159-1),S161,0),0)</f>
        <v>0</v>
      </c>
      <c r="J203" s="56">
        <f t="shared" si="94"/>
        <v>-89312010</v>
      </c>
      <c r="K203" s="56">
        <f>K202+I203/(1+N_discount)^8</f>
        <v>-78675873.595134452</v>
      </c>
    </row>
    <row r="204" spans="1:11" x14ac:dyDescent="0.2">
      <c r="B204" s="55">
        <v>9</v>
      </c>
      <c r="C204" s="56">
        <f>IF(9&lt;=E159,E155-IF(AND(E123=1,MOD(9,N_battery_life)=0,9&lt;=E159-1),E161,0),0)</f>
        <v>0</v>
      </c>
      <c r="D204" s="56">
        <f t="shared" si="92"/>
        <v>27867990</v>
      </c>
      <c r="E204" s="56">
        <f>E203+C204/(1+N_discount)^9</f>
        <v>10165005.13272192</v>
      </c>
      <c r="F204" s="56">
        <f>IF(9&lt;=L159,L155-IF(AND(L123=1,MOD(9,N_battery_life)=0,9&lt;=L159-1),L161,0),0)</f>
        <v>0</v>
      </c>
      <c r="G204" s="56">
        <f t="shared" si="93"/>
        <v>5339100</v>
      </c>
      <c r="H204" s="56">
        <f>H203+F204/(1+N_discount)^9</f>
        <v>1473934.5533402434</v>
      </c>
      <c r="I204" s="56">
        <f>IF(9&lt;=S159,S155-IF(AND(S123=1,MOD(9,N_battery_life)=0,9&lt;=S159-1),S161,0),0)</f>
        <v>0</v>
      </c>
      <c r="J204" s="56">
        <f t="shared" si="94"/>
        <v>-89312010</v>
      </c>
      <c r="K204" s="56">
        <f>K203+I204/(1+N_discount)^9</f>
        <v>-78675873.595134452</v>
      </c>
    </row>
    <row r="205" spans="1:11" x14ac:dyDescent="0.2">
      <c r="B205" s="55">
        <v>10</v>
      </c>
      <c r="C205" s="56">
        <f>IF(10&lt;=E159,E155-IF(AND(E123=1,MOD(10,N_battery_life)=0,10&lt;=E159-1),E161,0),0)</f>
        <v>0</v>
      </c>
      <c r="D205" s="56">
        <f t="shared" si="92"/>
        <v>27867990</v>
      </c>
      <c r="E205" s="56">
        <f>E204+C205/(1+N_discount)^10</f>
        <v>10165005.13272192</v>
      </c>
      <c r="F205" s="56">
        <f>IF(10&lt;=L159,L155-IF(AND(L123=1,MOD(10,N_battery_life)=0,10&lt;=L159-1),L161,0),0)</f>
        <v>0</v>
      </c>
      <c r="G205" s="56">
        <f t="shared" si="93"/>
        <v>5339100</v>
      </c>
      <c r="H205" s="56">
        <f>H204+F205/(1+N_discount)^10</f>
        <v>1473934.5533402434</v>
      </c>
      <c r="I205" s="56">
        <f>IF(10&lt;=S159,S155-IF(AND(S123=1,MOD(10,N_battery_life)=0,10&lt;=S159-1),S161,0),0)</f>
        <v>0</v>
      </c>
      <c r="J205" s="56">
        <f t="shared" si="94"/>
        <v>-89312010</v>
      </c>
      <c r="K205" s="56">
        <f>K204+I205/(1+N_discount)^10</f>
        <v>-78675873.595134452</v>
      </c>
    </row>
    <row r="206" spans="1:11" x14ac:dyDescent="0.2">
      <c r="B206" s="3" t="s">
        <v>744</v>
      </c>
      <c r="E206" s="57">
        <f>E205</f>
        <v>10165005.13272192</v>
      </c>
      <c r="H206" s="57">
        <f>H205</f>
        <v>1473934.5533402434</v>
      </c>
      <c r="K206" s="57">
        <f>K205</f>
        <v>-78675873.595134452</v>
      </c>
    </row>
    <row r="207" spans="1:11" x14ac:dyDescent="0.2">
      <c r="B207" s="3" t="s">
        <v>745</v>
      </c>
      <c r="E207" s="58">
        <f>IF(E205&lt;0,"не окупается",COUNTIF(E195:E205,"&lt;0"))</f>
        <v>4</v>
      </c>
      <c r="H207" s="58">
        <f>IF(H205&lt;0,"не окупается",COUNTIF(H195:H205,"&lt;0"))</f>
        <v>5</v>
      </c>
      <c r="K207" s="58" t="str">
        <f>IF(K205&lt;0,"не окупается",COUNTIF(K195:K205,"&lt;0"))</f>
        <v>не окупается</v>
      </c>
    </row>
    <row r="209" spans="1:8" ht="18" customHeight="1" x14ac:dyDescent="0.2">
      <c r="A209" s="18" t="s">
        <v>746</v>
      </c>
      <c r="B209" s="18"/>
      <c r="C209" s="18"/>
      <c r="D209" s="18"/>
      <c r="E209" s="18"/>
      <c r="F209" s="18"/>
      <c r="G209" s="18"/>
      <c r="H209" s="18"/>
    </row>
    <row r="210" spans="1:8" ht="30" customHeight="1" x14ac:dyDescent="0.2">
      <c r="A210" s="5"/>
      <c r="B210" s="5" t="s">
        <v>407</v>
      </c>
      <c r="C210" s="5" t="s">
        <v>253</v>
      </c>
      <c r="D210" s="5" t="s">
        <v>747</v>
      </c>
      <c r="E210" s="5" t="s">
        <v>748</v>
      </c>
      <c r="F210" s="5" t="s">
        <v>749</v>
      </c>
      <c r="G210" s="5" t="s">
        <v>750</v>
      </c>
      <c r="H210" s="5" t="s">
        <v>716</v>
      </c>
    </row>
    <row r="211" spans="1:8" x14ac:dyDescent="0.2">
      <c r="B211" s="59" t="s">
        <v>408</v>
      </c>
      <c r="C211" s="59" t="s">
        <v>197</v>
      </c>
      <c r="D211" s="59" t="s">
        <v>419</v>
      </c>
      <c r="E211" s="60">
        <f>E155</f>
        <v>15489428</v>
      </c>
      <c r="F211" s="61">
        <f>E158</f>
        <v>2.9916630878816184</v>
      </c>
      <c r="G211" s="62">
        <f>E163</f>
        <v>1.601391911590955</v>
      </c>
      <c r="H211" s="63">
        <f>E113</f>
        <v>12</v>
      </c>
    </row>
    <row r="212" spans="1:8" x14ac:dyDescent="0.2">
      <c r="B212" s="55" t="s">
        <v>408</v>
      </c>
      <c r="C212" s="55" t="s">
        <v>751</v>
      </c>
      <c r="D212" s="55" t="s">
        <v>420</v>
      </c>
      <c r="E212" s="56">
        <f>F155</f>
        <v>13516430</v>
      </c>
      <c r="F212" s="64">
        <f>F158</f>
        <v>5.4598255604475439</v>
      </c>
      <c r="G212" s="65">
        <f>F163</f>
        <v>0.84585896377037928</v>
      </c>
      <c r="H212" s="66">
        <f>F113</f>
        <v>15</v>
      </c>
    </row>
    <row r="213" spans="1:8" x14ac:dyDescent="0.2">
      <c r="B213" s="55" t="s">
        <v>408</v>
      </c>
      <c r="C213" s="55" t="s">
        <v>751</v>
      </c>
      <c r="D213" s="55" t="s">
        <v>421</v>
      </c>
      <c r="E213" s="56">
        <f>G155</f>
        <v>10936430</v>
      </c>
      <c r="F213" s="64">
        <f>G158</f>
        <v>10.121342156444104</v>
      </c>
      <c r="G213" s="65">
        <f>G163</f>
        <v>0.42408146616695885</v>
      </c>
      <c r="H213" s="66">
        <f>G113</f>
        <v>15</v>
      </c>
    </row>
    <row r="214" spans="1:8" x14ac:dyDescent="0.2">
      <c r="B214" s="55" t="s">
        <v>408</v>
      </c>
      <c r="C214" s="55" t="s">
        <v>752</v>
      </c>
      <c r="D214" s="55" t="s">
        <v>422</v>
      </c>
      <c r="E214" s="56">
        <f>H155</f>
        <v>8843684</v>
      </c>
      <c r="F214" s="64">
        <f>H158</f>
        <v>8.3443901885232439</v>
      </c>
      <c r="G214" s="65">
        <f>H163</f>
        <v>0.52928166688461231</v>
      </c>
      <c r="H214" s="66">
        <f>H113</f>
        <v>12</v>
      </c>
    </row>
    <row r="215" spans="1:8" x14ac:dyDescent="0.2">
      <c r="B215" s="55" t="s">
        <v>408</v>
      </c>
      <c r="C215" s="55" t="s">
        <v>752</v>
      </c>
      <c r="D215" s="55" t="s">
        <v>423</v>
      </c>
      <c r="E215" s="56">
        <f>I155</f>
        <v>15609176</v>
      </c>
      <c r="F215" s="64">
        <f>I158</f>
        <v>7.0914986159423146</v>
      </c>
      <c r="G215" s="65">
        <f>I163</f>
        <v>0.63514611881840177</v>
      </c>
      <c r="H215" s="66">
        <f>I113</f>
        <v>18</v>
      </c>
    </row>
    <row r="216" spans="1:8" x14ac:dyDescent="0.2">
      <c r="B216" s="55" t="s">
        <v>408</v>
      </c>
      <c r="C216" s="55" t="s">
        <v>753</v>
      </c>
      <c r="D216" s="55" t="s">
        <v>424</v>
      </c>
      <c r="E216" s="56">
        <f>J155</f>
        <v>8476670</v>
      </c>
      <c r="F216" s="64">
        <f>J158</f>
        <v>10.882144757316258</v>
      </c>
      <c r="G216" s="65">
        <f>J163</f>
        <v>0.38954526754213131</v>
      </c>
      <c r="H216" s="66">
        <f>J113</f>
        <v>15</v>
      </c>
    </row>
    <row r="217" spans="1:8" x14ac:dyDescent="0.2">
      <c r="B217" s="55" t="s">
        <v>408</v>
      </c>
      <c r="C217" s="55" t="s">
        <v>753</v>
      </c>
      <c r="D217" s="55" t="s">
        <v>425</v>
      </c>
      <c r="E217" s="56">
        <f>K155</f>
        <v>15976190</v>
      </c>
      <c r="F217" s="64">
        <f>K158</f>
        <v>5.7738641065235203</v>
      </c>
      <c r="G217" s="65">
        <f>K163</f>
        <v>0.79604821325100128</v>
      </c>
      <c r="H217" s="66">
        <f>K113</f>
        <v>15</v>
      </c>
    </row>
    <row r="218" spans="1:8" x14ac:dyDescent="0.2">
      <c r="B218" s="59" t="s">
        <v>409</v>
      </c>
      <c r="C218" s="59" t="s">
        <v>197</v>
      </c>
      <c r="D218" s="59" t="s">
        <v>419</v>
      </c>
      <c r="E218" s="60">
        <f>L155</f>
        <v>3196430</v>
      </c>
      <c r="F218" s="61">
        <f>L158</f>
        <v>3.3296677856233359</v>
      </c>
      <c r="G218" s="62">
        <f>L163</f>
        <v>1.5016513123587694</v>
      </c>
      <c r="H218" s="63">
        <f>L113</f>
        <v>15</v>
      </c>
    </row>
    <row r="219" spans="1:8" x14ac:dyDescent="0.2">
      <c r="B219" s="55" t="s">
        <v>409</v>
      </c>
      <c r="C219" s="55" t="s">
        <v>751</v>
      </c>
      <c r="D219" s="55" t="s">
        <v>420</v>
      </c>
      <c r="E219" s="56">
        <f>M155</f>
        <v>6292430</v>
      </c>
      <c r="F219" s="64">
        <f>M158</f>
        <v>1.3531417910091967</v>
      </c>
      <c r="G219" s="65">
        <f>M163</f>
        <v>3.6951042627032549</v>
      </c>
      <c r="H219" s="66">
        <f>M113</f>
        <v>15</v>
      </c>
    </row>
    <row r="220" spans="1:8" x14ac:dyDescent="0.2">
      <c r="B220" s="55" t="s">
        <v>409</v>
      </c>
      <c r="C220" s="55" t="s">
        <v>751</v>
      </c>
      <c r="D220" s="55" t="s">
        <v>421</v>
      </c>
      <c r="E220" s="56">
        <f>N155</f>
        <v>100430</v>
      </c>
      <c r="F220" s="64">
        <f>N158</f>
        <v>127.16867469879519</v>
      </c>
      <c r="G220" s="65">
        <f>N163</f>
        <v>3.9317858834675506E-2</v>
      </c>
      <c r="H220" s="66">
        <f>N113</f>
        <v>15</v>
      </c>
    </row>
    <row r="221" spans="1:8" x14ac:dyDescent="0.2">
      <c r="B221" s="55" t="s">
        <v>409</v>
      </c>
      <c r="C221" s="55" t="s">
        <v>752</v>
      </c>
      <c r="D221" s="55" t="s">
        <v>422</v>
      </c>
      <c r="E221" s="56">
        <f>O155</f>
        <v>1619684</v>
      </c>
      <c r="F221" s="64">
        <f>O158</f>
        <v>5.2569204857243754</v>
      </c>
      <c r="G221" s="65">
        <f>O163</f>
        <v>0.95112718816613917</v>
      </c>
      <c r="H221" s="66">
        <f>O113</f>
        <v>12</v>
      </c>
    </row>
    <row r="222" spans="1:8" x14ac:dyDescent="0.2">
      <c r="B222" s="55" t="s">
        <v>409</v>
      </c>
      <c r="C222" s="55" t="s">
        <v>752</v>
      </c>
      <c r="D222" s="55" t="s">
        <v>423</v>
      </c>
      <c r="E222" s="56">
        <f>P155</f>
        <v>4773176</v>
      </c>
      <c r="F222" s="64">
        <f>P158</f>
        <v>2.6756922434873553</v>
      </c>
      <c r="G222" s="65">
        <f>P163</f>
        <v>1.8686752978299423</v>
      </c>
      <c r="H222" s="66">
        <f>P113</f>
        <v>18</v>
      </c>
    </row>
    <row r="223" spans="1:8" x14ac:dyDescent="0.2">
      <c r="B223" s="55" t="s">
        <v>409</v>
      </c>
      <c r="C223" s="55" t="s">
        <v>753</v>
      </c>
      <c r="D223" s="55" t="s">
        <v>424</v>
      </c>
      <c r="E223" s="56">
        <f>Q155</f>
        <v>-553330</v>
      </c>
      <c r="F223" s="64" t="str">
        <f>Q158</f>
        <v>не окупается</v>
      </c>
      <c r="G223" s="65">
        <f>Q163</f>
        <v>-0.259948980790281</v>
      </c>
      <c r="H223" s="66">
        <f>Q113</f>
        <v>15</v>
      </c>
    </row>
    <row r="224" spans="1:8" x14ac:dyDescent="0.2">
      <c r="B224" s="55" t="s">
        <v>409</v>
      </c>
      <c r="C224" s="55" t="s">
        <v>753</v>
      </c>
      <c r="D224" s="55" t="s">
        <v>425</v>
      </c>
      <c r="E224" s="56">
        <f>R155</f>
        <v>6946190</v>
      </c>
      <c r="F224" s="64">
        <f>R158</f>
        <v>1.5322140626732064</v>
      </c>
      <c r="G224" s="65">
        <f>R163</f>
        <v>3.2632516055078198</v>
      </c>
      <c r="H224" s="66">
        <f>R113</f>
        <v>15</v>
      </c>
    </row>
    <row r="225" spans="1:8" x14ac:dyDescent="0.2">
      <c r="B225" s="59" t="s">
        <v>410</v>
      </c>
      <c r="C225" s="59" t="s">
        <v>197</v>
      </c>
      <c r="D225" s="59" t="s">
        <v>419</v>
      </c>
      <c r="E225" s="60">
        <f>S155</f>
        <v>-7946572</v>
      </c>
      <c r="F225" s="61" t="str">
        <f>S158</f>
        <v>не окупается</v>
      </c>
      <c r="G225" s="62">
        <f>S163</f>
        <v>-0.92735537876719798</v>
      </c>
      <c r="H225" s="63">
        <f>S113</f>
        <v>12</v>
      </c>
    </row>
    <row r="226" spans="1:8" x14ac:dyDescent="0.2">
      <c r="B226" s="55" t="s">
        <v>410</v>
      </c>
      <c r="C226" s="55" t="s">
        <v>751</v>
      </c>
      <c r="D226" s="55" t="s">
        <v>420</v>
      </c>
      <c r="E226" s="56">
        <f>T155</f>
        <v>-7298572</v>
      </c>
      <c r="F226" s="64" t="str">
        <f>T158</f>
        <v>не окупается</v>
      </c>
      <c r="G226" s="65">
        <f>T163</f>
        <v>-1.0542746356825432</v>
      </c>
      <c r="H226" s="66">
        <f>T113</f>
        <v>12</v>
      </c>
    </row>
    <row r="227" spans="1:8" x14ac:dyDescent="0.2">
      <c r="B227" s="55" t="s">
        <v>410</v>
      </c>
      <c r="C227" s="55" t="s">
        <v>751</v>
      </c>
      <c r="D227" s="55" t="s">
        <v>421</v>
      </c>
      <c r="E227" s="56">
        <f>U155</f>
        <v>-8594572</v>
      </c>
      <c r="F227" s="64" t="str">
        <f>U158</f>
        <v>не окупается</v>
      </c>
      <c r="G227" s="65">
        <f>U163</f>
        <v>-0.84273710088291542</v>
      </c>
      <c r="H227" s="66">
        <f>U113</f>
        <v>12</v>
      </c>
    </row>
    <row r="228" spans="1:8" x14ac:dyDescent="0.2">
      <c r="B228" s="55" t="s">
        <v>410</v>
      </c>
      <c r="C228" s="55" t="s">
        <v>752</v>
      </c>
      <c r="D228" s="55" t="s">
        <v>422</v>
      </c>
      <c r="E228" s="56">
        <f>V155</f>
        <v>-7131754</v>
      </c>
      <c r="F228" s="64" t="str">
        <f>V158</f>
        <v>не окупается</v>
      </c>
      <c r="G228" s="65">
        <f>V163</f>
        <v>-1.095920448970725</v>
      </c>
      <c r="H228" s="66">
        <f>V113</f>
        <v>9</v>
      </c>
    </row>
    <row r="229" spans="1:8" x14ac:dyDescent="0.2">
      <c r="B229" s="55" t="s">
        <v>410</v>
      </c>
      <c r="C229" s="55" t="s">
        <v>752</v>
      </c>
      <c r="D229" s="55" t="s">
        <v>423</v>
      </c>
      <c r="E229" s="56">
        <f>W155</f>
        <v>-8489784</v>
      </c>
      <c r="F229" s="64" t="str">
        <f>W158</f>
        <v>не окупается</v>
      </c>
      <c r="G229" s="65">
        <f>W163</f>
        <v>-0.85510536464908504</v>
      </c>
      <c r="H229" s="66">
        <f>W113</f>
        <v>14</v>
      </c>
    </row>
    <row r="230" spans="1:8" x14ac:dyDescent="0.2">
      <c r="B230" s="55" t="s">
        <v>410</v>
      </c>
      <c r="C230" s="55" t="s">
        <v>753</v>
      </c>
      <c r="D230" s="55" t="s">
        <v>424</v>
      </c>
      <c r="E230" s="56">
        <f>X155</f>
        <v>-7009132</v>
      </c>
      <c r="F230" s="64" t="str">
        <f>X158</f>
        <v>не окупается</v>
      </c>
      <c r="G230" s="65">
        <f>X163</f>
        <v>-0.82620548715287179</v>
      </c>
      <c r="H230" s="66">
        <f>X113</f>
        <v>12</v>
      </c>
    </row>
    <row r="231" spans="1:8" x14ac:dyDescent="0.2">
      <c r="B231" s="55" t="s">
        <v>410</v>
      </c>
      <c r="C231" s="55" t="s">
        <v>753</v>
      </c>
      <c r="D231" s="55" t="s">
        <v>425</v>
      </c>
      <c r="E231" s="56">
        <f>Y155</f>
        <v>-8884012</v>
      </c>
      <c r="F231" s="64" t="str">
        <f>Y158</f>
        <v>не окупается</v>
      </c>
      <c r="G231" s="65">
        <f>Y163</f>
        <v>-1.0285052703815241</v>
      </c>
      <c r="H231" s="66">
        <f>Y113</f>
        <v>12</v>
      </c>
    </row>
    <row r="233" spans="1:8" ht="18" customHeight="1" x14ac:dyDescent="0.2">
      <c r="A233" s="18" t="s">
        <v>754</v>
      </c>
      <c r="B233" s="18"/>
      <c r="C233" s="18"/>
      <c r="D233" s="18"/>
      <c r="E233" s="18"/>
      <c r="F233" s="18"/>
      <c r="G233" s="18"/>
      <c r="H233" s="18"/>
    </row>
    <row r="234" spans="1:8" ht="60" customHeight="1" x14ac:dyDescent="0.2">
      <c r="B234" s="1" t="str">
        <f>E62&amp;" — "&amp;E71&amp;": "&amp;E96&amp;". Роботов: "&amp;E113&amp;"; CAPEX "&amp;TEXT(E134/1000000,"0.0")&amp;" млн руб. ("&amp;E135&amp;"); чистый годовой эффект "&amp;TEXT(E155/1000000,"0.0")&amp;" млн руб.; окупаемость "&amp;IF(ISNUMBER(E158),TEXT(E158,"0.0")&amp;" лет",E158)&amp;"; ROI за горизонт "&amp;IF(ISNUMBER(E163),TEXT(E163,"0%"),"—")&amp;". "&amp;E168&amp;". "&amp;IF(E169="","","Риски: "&amp;E169)</f>
        <v xml:space="preserve">Покупка A — Ronavi H1500 (AMR, до 1500 кг): Применимо: все ключевые ограничения выполнены. Роботов: 12; CAPEX 46.3 млн руб. (В бюджете); чистый годовой эффект 15.5 млн руб.; окупаемость 3.0 лет; ROI за горизонт 160%. Средняя целесообразность (2–4 лет) — рекомендован пилот. </v>
      </c>
      <c r="C234" s="1"/>
      <c r="D234" s="1"/>
      <c r="E234" s="1"/>
      <c r="F234" s="1"/>
      <c r="G234" s="1"/>
      <c r="H234" s="1"/>
    </row>
    <row r="235" spans="1:8" ht="60" customHeight="1" x14ac:dyDescent="0.2">
      <c r="B235" s="1" t="str">
        <f>L62&amp;" — "&amp;L71&amp;": "&amp;L96&amp;". Роботов: "&amp;L113&amp;"; CAPEX "&amp;TEXT(L134/1000000,"0.0")&amp;" млн руб. ("&amp;L135&amp;"); чистый годовой эффект "&amp;TEXT(L155/1000000,"0.0")&amp;" млн руб.; окупаемость "&amp;IF(ISNUMBER(L158),TEXT(L158,"0.0")&amp;" лет",L158)&amp;"; ROI за горизонт "&amp;IF(ISNUMBER(L163),TEXT(L163,"0%"),"—")&amp;". "&amp;L168&amp;". "&amp;IF(L169="","","Риски: "&amp;L169)</f>
        <v xml:space="preserve">RaaS A — DMR Carrier P (FMR, вилочный AMR): Применимо: все ключевые ограничения выполнены. Роботов: 15; CAPEX 10.6 млн руб. (В бюджете); чистый годовой эффект 3.2 млн руб.; окупаемость 3.3 лет; ROI за горизонт 150%. Средняя целесообразность (2–4 лет) — рекомендован пилот. Риски: Зрелость: статус «piloting»; ТТХ требуют подтверждения; </v>
      </c>
      <c r="C235" s="1"/>
      <c r="D235" s="1"/>
      <c r="E235" s="1"/>
      <c r="F235" s="1"/>
      <c r="G235" s="1"/>
      <c r="H235" s="1"/>
    </row>
    <row r="236" spans="1:8" ht="60" customHeight="1" x14ac:dyDescent="0.2">
      <c r="B236" s="1" t="str">
        <f>S62&amp;" — "&amp;S71&amp;": "&amp;S96&amp;". Роботов: "&amp;S113&amp;"; CAPEX "&amp;TEXT(S134/1000000,"0.0")&amp;" млн руб. ("&amp;S135&amp;"); чистый годовой эффект "&amp;TEXT(S155/1000000,"0.0")&amp;" млн руб.; окупаемость "&amp;IF(ISNUMBER(S158),TEXT(S158,"0.0")&amp;" лет",S158)&amp;"; ROI за горизонт "&amp;IF(ISNUMBER(S163),TEXT(S163,"0%"),"—")&amp;". "&amp;S168&amp;". "&amp;IF(S169="","","Риски: "&amp;S169)</f>
        <v xml:space="preserve">Покупка B — Ronavi H1500 (AMR, до 1500 кг): Применимо: все ключевые ограничения выполнены. Роботов: 12; CAPEX 46.3 млн руб. (В бюджете); чистый годовой эффект -7.9 млн руб.; окупаемость не окупается; ROI за горизонт -93%. Не окупается: годовой эффект ≤ 0. </v>
      </c>
      <c r="C236" s="1"/>
      <c r="D236" s="1"/>
      <c r="E236" s="1"/>
      <c r="F236" s="1"/>
      <c r="G236" s="1"/>
      <c r="H236" s="1"/>
    </row>
  </sheetData>
  <autoFilter ref="A4:J59" xr:uid="{00000000-0001-0000-0300-000000000000}"/>
  <mergeCells count="3">
    <mergeCell ref="B234:H234"/>
    <mergeCell ref="B235:H235"/>
    <mergeCell ref="B236:H2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6" customWidth="1"/>
    <col min="2" max="2" width="62" customWidth="1"/>
    <col min="3" max="3" width="12" customWidth="1"/>
    <col min="4" max="4" width="40" customWidth="1"/>
    <col min="5" max="6" width="19" customWidth="1"/>
    <col min="7" max="7" width="46" customWidth="1"/>
    <col min="8" max="25" width="19" customWidth="1"/>
  </cols>
  <sheetData>
    <row r="1" spans="1:8" ht="18" x14ac:dyDescent="0.2">
      <c r="A1" s="2" t="s">
        <v>755</v>
      </c>
    </row>
    <row r="2" spans="1:8" x14ac:dyDescent="0.2">
      <c r="A2" s="17" t="s">
        <v>250</v>
      </c>
    </row>
    <row r="4" spans="1:8" ht="18" customHeight="1" x14ac:dyDescent="0.2">
      <c r="A4" s="18" t="s">
        <v>756</v>
      </c>
      <c r="B4" s="18"/>
      <c r="C4" s="18"/>
      <c r="D4" s="18"/>
      <c r="E4" s="18"/>
      <c r="F4" s="18"/>
      <c r="G4" s="18"/>
      <c r="H4" s="18"/>
    </row>
    <row r="5" spans="1:8" ht="30" customHeight="1" x14ac:dyDescent="0.2">
      <c r="A5" s="5" t="s">
        <v>252</v>
      </c>
      <c r="B5" s="5" t="s">
        <v>253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</row>
    <row r="6" spans="1:8" x14ac:dyDescent="0.2">
      <c r="A6" s="6" t="s">
        <v>757</v>
      </c>
      <c r="B6" s="6" t="s">
        <v>758</v>
      </c>
      <c r="C6" s="6" t="s">
        <v>256</v>
      </c>
      <c r="D6" s="13">
        <v>85000</v>
      </c>
      <c r="E6" s="6">
        <v>8000</v>
      </c>
      <c r="F6" s="6">
        <v>500000</v>
      </c>
      <c r="G6" s="6" t="s">
        <v>759</v>
      </c>
      <c r="H6" s="8" t="s">
        <v>258</v>
      </c>
    </row>
    <row r="7" spans="1:8" x14ac:dyDescent="0.2">
      <c r="A7" s="6" t="s">
        <v>760</v>
      </c>
      <c r="B7" s="6" t="s">
        <v>761</v>
      </c>
      <c r="C7" s="6" t="s">
        <v>256</v>
      </c>
      <c r="D7" s="13">
        <v>100000</v>
      </c>
      <c r="E7" s="6">
        <v>10000</v>
      </c>
      <c r="F7" s="6">
        <v>800000</v>
      </c>
      <c r="G7" s="6" t="s">
        <v>759</v>
      </c>
      <c r="H7" s="8" t="s">
        <v>258</v>
      </c>
    </row>
    <row r="8" spans="1:8" x14ac:dyDescent="0.2">
      <c r="A8" s="6" t="s">
        <v>762</v>
      </c>
      <c r="B8" s="6" t="s">
        <v>763</v>
      </c>
      <c r="C8" s="6" t="s">
        <v>548</v>
      </c>
      <c r="D8" s="13">
        <v>20</v>
      </c>
      <c r="E8" s="6">
        <v>8</v>
      </c>
      <c r="F8" s="6">
        <v>50</v>
      </c>
      <c r="G8" s="6" t="s">
        <v>759</v>
      </c>
      <c r="H8" s="8" t="s">
        <v>258</v>
      </c>
    </row>
    <row r="9" spans="1:8" x14ac:dyDescent="0.2">
      <c r="A9" s="6" t="s">
        <v>764</v>
      </c>
      <c r="B9" s="6" t="s">
        <v>765</v>
      </c>
      <c r="C9" s="6" t="s">
        <v>766</v>
      </c>
      <c r="D9" s="13">
        <v>280</v>
      </c>
      <c r="E9" s="6">
        <v>30</v>
      </c>
      <c r="F9" s="6">
        <v>1200</v>
      </c>
      <c r="G9" s="6" t="s">
        <v>759</v>
      </c>
      <c r="H9" s="8" t="s">
        <v>258</v>
      </c>
    </row>
    <row r="10" spans="1:8" ht="28" x14ac:dyDescent="0.2">
      <c r="A10" s="6" t="s">
        <v>767</v>
      </c>
      <c r="B10" s="6" t="s">
        <v>768</v>
      </c>
      <c r="C10" s="6" t="s">
        <v>523</v>
      </c>
      <c r="D10" s="13">
        <v>32</v>
      </c>
      <c r="E10" s="6">
        <v>4</v>
      </c>
      <c r="F10" s="6">
        <v>120</v>
      </c>
      <c r="G10" s="6" t="s">
        <v>759</v>
      </c>
      <c r="H10" s="8" t="s">
        <v>258</v>
      </c>
    </row>
    <row r="11" spans="1:8" x14ac:dyDescent="0.2">
      <c r="A11" s="6" t="s">
        <v>769</v>
      </c>
      <c r="B11" s="6" t="s">
        <v>770</v>
      </c>
      <c r="C11" s="6" t="s">
        <v>771</v>
      </c>
      <c r="D11" s="13">
        <v>35000</v>
      </c>
      <c r="E11" s="6">
        <v>3000</v>
      </c>
      <c r="F11" s="6">
        <v>300000</v>
      </c>
      <c r="G11" s="6" t="s">
        <v>759</v>
      </c>
      <c r="H11" s="8" t="s">
        <v>258</v>
      </c>
    </row>
    <row r="12" spans="1:8" x14ac:dyDescent="0.2">
      <c r="A12" s="6" t="s">
        <v>772</v>
      </c>
      <c r="B12" s="6" t="s">
        <v>773</v>
      </c>
      <c r="C12" s="6" t="s">
        <v>295</v>
      </c>
      <c r="D12" s="13">
        <v>18</v>
      </c>
      <c r="E12" s="6">
        <v>10</v>
      </c>
      <c r="F12" s="6">
        <v>35</v>
      </c>
      <c r="G12" s="6" t="s">
        <v>759</v>
      </c>
      <c r="H12" s="8" t="s">
        <v>258</v>
      </c>
    </row>
    <row r="13" spans="1:8" x14ac:dyDescent="0.2">
      <c r="A13" s="6" t="s">
        <v>774</v>
      </c>
      <c r="B13" s="6" t="s">
        <v>775</v>
      </c>
      <c r="C13" s="6" t="s">
        <v>286</v>
      </c>
      <c r="D13" s="13">
        <v>320</v>
      </c>
      <c r="E13" s="6">
        <v>50</v>
      </c>
      <c r="F13" s="6">
        <v>2000</v>
      </c>
      <c r="G13" s="6" t="s">
        <v>759</v>
      </c>
      <c r="H13" s="8" t="s">
        <v>258</v>
      </c>
    </row>
    <row r="14" spans="1:8" x14ac:dyDescent="0.2">
      <c r="A14" s="6" t="s">
        <v>776</v>
      </c>
      <c r="B14" s="6" t="s">
        <v>777</v>
      </c>
      <c r="C14" s="6" t="s">
        <v>290</v>
      </c>
      <c r="D14" s="13">
        <v>100000</v>
      </c>
      <c r="E14" s="6">
        <v>70000</v>
      </c>
      <c r="F14" s="6">
        <v>150000</v>
      </c>
      <c r="G14" s="6" t="s">
        <v>759</v>
      </c>
      <c r="H14" s="8" t="s">
        <v>258</v>
      </c>
    </row>
    <row r="15" spans="1:8" x14ac:dyDescent="0.2">
      <c r="A15" s="6" t="s">
        <v>778</v>
      </c>
      <c r="B15" s="6" t="s">
        <v>779</v>
      </c>
      <c r="C15" s="6" t="s">
        <v>33</v>
      </c>
      <c r="D15" s="9">
        <v>0.35</v>
      </c>
      <c r="E15" s="6">
        <v>0.15</v>
      </c>
      <c r="F15" s="6">
        <v>0.6</v>
      </c>
      <c r="G15" s="6" t="s">
        <v>759</v>
      </c>
      <c r="H15" s="8" t="s">
        <v>258</v>
      </c>
    </row>
    <row r="16" spans="1:8" x14ac:dyDescent="0.2">
      <c r="A16" s="6" t="s">
        <v>780</v>
      </c>
      <c r="B16" s="6" t="s">
        <v>781</v>
      </c>
      <c r="C16" s="6" t="s">
        <v>370</v>
      </c>
      <c r="D16" s="13">
        <v>-25</v>
      </c>
      <c r="E16" s="6">
        <v>-40</v>
      </c>
      <c r="F16" s="6">
        <v>0</v>
      </c>
      <c r="G16" s="6" t="s">
        <v>759</v>
      </c>
      <c r="H16" s="8" t="s">
        <v>258</v>
      </c>
    </row>
    <row r="17" spans="1:8" x14ac:dyDescent="0.2">
      <c r="A17" s="6" t="s">
        <v>782</v>
      </c>
      <c r="B17" s="6" t="s">
        <v>783</v>
      </c>
      <c r="C17" s="6" t="s">
        <v>784</v>
      </c>
      <c r="D17" s="13">
        <v>70</v>
      </c>
      <c r="E17" s="6">
        <v>55</v>
      </c>
      <c r="F17" s="6">
        <v>80</v>
      </c>
      <c r="G17" s="6" t="s">
        <v>759</v>
      </c>
      <c r="H17" s="8" t="s">
        <v>258</v>
      </c>
    </row>
    <row r="18" spans="1:8" x14ac:dyDescent="0.2">
      <c r="A18" s="6" t="s">
        <v>785</v>
      </c>
      <c r="B18" s="6" t="s">
        <v>786</v>
      </c>
      <c r="C18" s="6" t="s">
        <v>55</v>
      </c>
      <c r="D18" s="13">
        <v>300</v>
      </c>
      <c r="E18" s="6">
        <v>50</v>
      </c>
      <c r="F18" s="6">
        <v>2000</v>
      </c>
      <c r="G18" s="6" t="s">
        <v>759</v>
      </c>
      <c r="H18" s="8" t="s">
        <v>258</v>
      </c>
    </row>
    <row r="19" spans="1:8" x14ac:dyDescent="0.2">
      <c r="A19" s="6" t="s">
        <v>787</v>
      </c>
      <c r="B19" s="6" t="s">
        <v>301</v>
      </c>
      <c r="C19" s="6" t="s">
        <v>302</v>
      </c>
      <c r="D19" s="13">
        <v>120</v>
      </c>
      <c r="E19" s="6">
        <v>20</v>
      </c>
      <c r="F19" s="6">
        <v>800</v>
      </c>
      <c r="G19" s="6" t="s">
        <v>759</v>
      </c>
      <c r="H19" s="8" t="s">
        <v>258</v>
      </c>
    </row>
    <row r="20" spans="1:8" x14ac:dyDescent="0.2">
      <c r="A20" s="6" t="s">
        <v>788</v>
      </c>
      <c r="B20" s="6" t="s">
        <v>304</v>
      </c>
      <c r="C20" s="6" t="s">
        <v>85</v>
      </c>
      <c r="D20" s="13">
        <v>7</v>
      </c>
      <c r="E20" s="6">
        <v>5</v>
      </c>
      <c r="F20" s="6">
        <v>15</v>
      </c>
      <c r="G20" s="6" t="s">
        <v>759</v>
      </c>
      <c r="H20" s="8" t="s">
        <v>258</v>
      </c>
    </row>
    <row r="22" spans="1:8" ht="18" customHeight="1" x14ac:dyDescent="0.2">
      <c r="A22" s="18" t="s">
        <v>305</v>
      </c>
      <c r="B22" s="18"/>
      <c r="C22" s="18"/>
      <c r="D22" s="18"/>
      <c r="E22" s="18"/>
      <c r="F22" s="18"/>
      <c r="G22" s="18"/>
      <c r="H22" s="18"/>
    </row>
    <row r="23" spans="1:8" ht="30" customHeight="1" x14ac:dyDescent="0.2">
      <c r="A23" s="5" t="s">
        <v>252</v>
      </c>
      <c r="B23" s="5" t="s">
        <v>253</v>
      </c>
      <c r="C23" s="5" t="s">
        <v>20</v>
      </c>
      <c r="D23" s="5" t="s">
        <v>21</v>
      </c>
      <c r="E23" s="5" t="s">
        <v>22</v>
      </c>
      <c r="F23" s="5" t="s">
        <v>23</v>
      </c>
      <c r="G23" s="5" t="s">
        <v>24</v>
      </c>
      <c r="H23" s="5" t="s">
        <v>25</v>
      </c>
    </row>
    <row r="24" spans="1:8" x14ac:dyDescent="0.2">
      <c r="A24" s="6" t="s">
        <v>789</v>
      </c>
      <c r="B24" s="6" t="s">
        <v>790</v>
      </c>
      <c r="C24" s="6" t="s">
        <v>270</v>
      </c>
      <c r="D24" s="12">
        <v>3</v>
      </c>
      <c r="E24" s="6">
        <v>2</v>
      </c>
      <c r="F24" s="6">
        <v>3</v>
      </c>
      <c r="G24" s="6" t="s">
        <v>791</v>
      </c>
      <c r="H24" s="8" t="s">
        <v>38</v>
      </c>
    </row>
    <row r="25" spans="1:8" x14ac:dyDescent="0.2">
      <c r="A25" s="6" t="s">
        <v>792</v>
      </c>
      <c r="B25" s="6" t="s">
        <v>793</v>
      </c>
      <c r="C25" s="6" t="s">
        <v>273</v>
      </c>
      <c r="D25" s="12">
        <v>8</v>
      </c>
      <c r="E25" s="6">
        <v>8</v>
      </c>
      <c r="F25" s="6">
        <v>12</v>
      </c>
      <c r="G25" s="6" t="s">
        <v>59</v>
      </c>
      <c r="H25" s="8" t="s">
        <v>38</v>
      </c>
    </row>
    <row r="26" spans="1:8" x14ac:dyDescent="0.2">
      <c r="A26" s="6" t="s">
        <v>794</v>
      </c>
      <c r="B26" s="6" t="s">
        <v>795</v>
      </c>
      <c r="C26" s="6" t="s">
        <v>273</v>
      </c>
      <c r="D26" s="21">
        <f>Aer_shifts*Aer_shift_h</f>
        <v>24</v>
      </c>
      <c r="E26" s="6"/>
      <c r="F26" s="6"/>
      <c r="G26" s="6" t="s">
        <v>375</v>
      </c>
      <c r="H26" s="8" t="s">
        <v>310</v>
      </c>
    </row>
    <row r="27" spans="1:8" ht="28" x14ac:dyDescent="0.2">
      <c r="A27" s="6" t="s">
        <v>796</v>
      </c>
      <c r="B27" s="6" t="s">
        <v>797</v>
      </c>
      <c r="C27" s="6" t="s">
        <v>308</v>
      </c>
      <c r="D27" s="19">
        <f>Aer_flights_day*2</f>
        <v>560</v>
      </c>
      <c r="E27" s="6"/>
      <c r="F27" s="6"/>
      <c r="G27" s="6" t="s">
        <v>309</v>
      </c>
      <c r="H27" s="8" t="s">
        <v>310</v>
      </c>
    </row>
    <row r="28" spans="1:8" ht="28" x14ac:dyDescent="0.2">
      <c r="A28" s="6" t="s">
        <v>798</v>
      </c>
      <c r="B28" s="6" t="s">
        <v>799</v>
      </c>
      <c r="C28" s="6" t="s">
        <v>317</v>
      </c>
      <c r="D28" s="22">
        <f>Aer_flights_peak_h*2</f>
        <v>64</v>
      </c>
      <c r="E28" s="6"/>
      <c r="F28" s="6"/>
      <c r="G28" s="6" t="s">
        <v>800</v>
      </c>
      <c r="H28" s="8" t="s">
        <v>310</v>
      </c>
    </row>
    <row r="29" spans="1:8" ht="28" x14ac:dyDescent="0.2">
      <c r="A29" s="6" t="s">
        <v>801</v>
      </c>
      <c r="B29" s="6" t="s">
        <v>802</v>
      </c>
      <c r="C29" s="6" t="s">
        <v>33</v>
      </c>
      <c r="D29" s="10">
        <v>0.9</v>
      </c>
      <c r="E29" s="6">
        <v>0.5</v>
      </c>
      <c r="F29" s="6">
        <v>1</v>
      </c>
      <c r="G29" s="6" t="s">
        <v>803</v>
      </c>
      <c r="H29" s="8" t="s">
        <v>38</v>
      </c>
    </row>
    <row r="30" spans="1:8" x14ac:dyDescent="0.2">
      <c r="A30" s="6" t="s">
        <v>804</v>
      </c>
      <c r="B30" s="6" t="s">
        <v>805</v>
      </c>
      <c r="C30" s="6" t="s">
        <v>295</v>
      </c>
      <c r="D30" s="19">
        <f>Aer_bags_day/Aer_flights_day*Aer_bag_mass</f>
        <v>2250</v>
      </c>
      <c r="E30" s="6"/>
      <c r="F30" s="6"/>
      <c r="G30" s="6" t="s">
        <v>309</v>
      </c>
      <c r="H30" s="8" t="s">
        <v>310</v>
      </c>
    </row>
    <row r="31" spans="1:8" ht="28" x14ac:dyDescent="0.2">
      <c r="A31" s="6" t="s">
        <v>806</v>
      </c>
      <c r="B31" s="6" t="s">
        <v>807</v>
      </c>
      <c r="C31" s="6" t="s">
        <v>323</v>
      </c>
      <c r="D31" s="12">
        <v>1</v>
      </c>
      <c r="E31" s="6">
        <v>0</v>
      </c>
      <c r="F31" s="6">
        <v>1</v>
      </c>
      <c r="G31" s="6" t="s">
        <v>808</v>
      </c>
      <c r="H31" s="8" t="s">
        <v>38</v>
      </c>
    </row>
    <row r="32" spans="1:8" ht="28" x14ac:dyDescent="0.2">
      <c r="A32" s="6" t="s">
        <v>809</v>
      </c>
      <c r="B32" s="6" t="s">
        <v>810</v>
      </c>
      <c r="C32" s="6" t="s">
        <v>264</v>
      </c>
      <c r="D32" s="23">
        <f>2*SQRT(Aer_S_apron)</f>
        <v>632.45553203367592</v>
      </c>
      <c r="E32" s="6"/>
      <c r="F32" s="6"/>
      <c r="G32" s="6" t="s">
        <v>811</v>
      </c>
      <c r="H32" s="8" t="s">
        <v>310</v>
      </c>
    </row>
    <row r="33" spans="1:8" ht="28" x14ac:dyDescent="0.2">
      <c r="A33" s="6" t="s">
        <v>812</v>
      </c>
      <c r="B33" s="6" t="s">
        <v>813</v>
      </c>
      <c r="C33" s="6" t="s">
        <v>330</v>
      </c>
      <c r="D33" s="11">
        <v>4.17</v>
      </c>
      <c r="E33" s="6">
        <v>2</v>
      </c>
      <c r="F33" s="6">
        <v>7</v>
      </c>
      <c r="G33" s="6" t="s">
        <v>814</v>
      </c>
      <c r="H33" s="8" t="s">
        <v>38</v>
      </c>
    </row>
    <row r="34" spans="1:8" x14ac:dyDescent="0.2">
      <c r="A34" s="6" t="s">
        <v>815</v>
      </c>
      <c r="B34" s="6" t="s">
        <v>816</v>
      </c>
      <c r="C34" s="6" t="s">
        <v>33</v>
      </c>
      <c r="D34" s="9">
        <v>0</v>
      </c>
      <c r="E34" s="6">
        <v>0</v>
      </c>
      <c r="F34" s="6">
        <v>1</v>
      </c>
      <c r="G34" s="6" t="s">
        <v>817</v>
      </c>
      <c r="H34" s="8" t="s">
        <v>258</v>
      </c>
    </row>
    <row r="35" spans="1:8" x14ac:dyDescent="0.2">
      <c r="A35" s="6" t="s">
        <v>818</v>
      </c>
      <c r="B35" s="6" t="s">
        <v>819</v>
      </c>
      <c r="C35" s="6" t="s">
        <v>337</v>
      </c>
      <c r="D35" s="13">
        <v>0</v>
      </c>
      <c r="E35" s="6">
        <v>0</v>
      </c>
      <c r="F35" s="6">
        <v>300</v>
      </c>
      <c r="G35" s="6" t="s">
        <v>820</v>
      </c>
      <c r="H35" s="8" t="s">
        <v>258</v>
      </c>
    </row>
    <row r="36" spans="1:8" x14ac:dyDescent="0.2">
      <c r="A36" s="6" t="s">
        <v>821</v>
      </c>
      <c r="B36" s="6" t="s">
        <v>822</v>
      </c>
      <c r="C36" s="6" t="s">
        <v>264</v>
      </c>
      <c r="D36" s="11">
        <v>4</v>
      </c>
      <c r="E36" s="6">
        <v>3</v>
      </c>
      <c r="F36" s="6">
        <v>8</v>
      </c>
      <c r="G36" s="6" t="s">
        <v>59</v>
      </c>
      <c r="H36" s="8" t="s">
        <v>38</v>
      </c>
    </row>
    <row r="37" spans="1:8" x14ac:dyDescent="0.2">
      <c r="A37" s="6" t="s">
        <v>823</v>
      </c>
      <c r="B37" s="6" t="s">
        <v>824</v>
      </c>
      <c r="C37" s="6" t="s">
        <v>264</v>
      </c>
      <c r="D37" s="11">
        <v>0.6</v>
      </c>
      <c r="E37" s="6">
        <v>0.3</v>
      </c>
      <c r="F37" s="6">
        <v>1</v>
      </c>
      <c r="G37" s="6" t="s">
        <v>59</v>
      </c>
      <c r="H37" s="8" t="s">
        <v>38</v>
      </c>
    </row>
    <row r="38" spans="1:8" ht="28" x14ac:dyDescent="0.2">
      <c r="A38" s="6" t="s">
        <v>825</v>
      </c>
      <c r="B38" s="6" t="s">
        <v>345</v>
      </c>
      <c r="C38" s="6" t="s">
        <v>323</v>
      </c>
      <c r="D38" s="13">
        <v>1</v>
      </c>
      <c r="E38" s="6">
        <v>0</v>
      </c>
      <c r="F38" s="6">
        <v>1</v>
      </c>
      <c r="G38" s="6" t="s">
        <v>826</v>
      </c>
      <c r="H38" s="8" t="s">
        <v>258</v>
      </c>
    </row>
    <row r="39" spans="1:8" x14ac:dyDescent="0.2">
      <c r="A39" s="6" t="s">
        <v>827</v>
      </c>
      <c r="B39" s="6" t="s">
        <v>348</v>
      </c>
      <c r="C39" s="6"/>
      <c r="D39" s="16" t="s">
        <v>169</v>
      </c>
      <c r="E39" s="6"/>
      <c r="F39" s="6"/>
      <c r="G39" s="6" t="s">
        <v>349</v>
      </c>
      <c r="H39" s="8" t="s">
        <v>258</v>
      </c>
    </row>
    <row r="40" spans="1:8" ht="28" x14ac:dyDescent="0.2">
      <c r="A40" s="6" t="s">
        <v>828</v>
      </c>
      <c r="B40" s="6" t="s">
        <v>351</v>
      </c>
      <c r="C40" s="6"/>
      <c r="D40" s="15" t="s">
        <v>829</v>
      </c>
      <c r="E40" s="6"/>
      <c r="F40" s="6"/>
      <c r="G40" s="6" t="s">
        <v>830</v>
      </c>
      <c r="H40" s="8" t="s">
        <v>38</v>
      </c>
    </row>
    <row r="41" spans="1:8" ht="28" x14ac:dyDescent="0.2">
      <c r="A41" s="6" t="s">
        <v>831</v>
      </c>
      <c r="B41" s="6" t="s">
        <v>355</v>
      </c>
      <c r="C41" s="6" t="s">
        <v>323</v>
      </c>
      <c r="D41" s="13">
        <v>0</v>
      </c>
      <c r="E41" s="6">
        <v>0</v>
      </c>
      <c r="F41" s="6">
        <v>1</v>
      </c>
      <c r="G41" s="6" t="s">
        <v>356</v>
      </c>
      <c r="H41" s="8" t="s">
        <v>258</v>
      </c>
    </row>
    <row r="42" spans="1:8" ht="28" x14ac:dyDescent="0.2">
      <c r="A42" s="6" t="s">
        <v>832</v>
      </c>
      <c r="B42" s="6" t="s">
        <v>358</v>
      </c>
      <c r="C42" s="6" t="s">
        <v>33</v>
      </c>
      <c r="D42" s="10">
        <v>0.8</v>
      </c>
      <c r="E42" s="6">
        <v>0.5</v>
      </c>
      <c r="F42" s="6">
        <v>0.9</v>
      </c>
      <c r="G42" s="6" t="s">
        <v>359</v>
      </c>
      <c r="H42" s="8" t="s">
        <v>38</v>
      </c>
    </row>
    <row r="43" spans="1:8" x14ac:dyDescent="0.2">
      <c r="A43" s="6" t="s">
        <v>833</v>
      </c>
      <c r="B43" s="6" t="s">
        <v>361</v>
      </c>
      <c r="C43" s="6" t="s">
        <v>33</v>
      </c>
      <c r="D43" s="10">
        <v>0.6</v>
      </c>
      <c r="E43" s="6">
        <v>0.4</v>
      </c>
      <c r="F43" s="6">
        <v>0.9</v>
      </c>
      <c r="G43" s="6" t="s">
        <v>59</v>
      </c>
      <c r="H43" s="8" t="s">
        <v>38</v>
      </c>
    </row>
    <row r="44" spans="1:8" ht="28" x14ac:dyDescent="0.2">
      <c r="A44" s="6" t="s">
        <v>834</v>
      </c>
      <c r="B44" s="6" t="s">
        <v>363</v>
      </c>
      <c r="C44" s="6" t="s">
        <v>33</v>
      </c>
      <c r="D44" s="10">
        <v>0.8</v>
      </c>
      <c r="E44" s="6">
        <v>0.5</v>
      </c>
      <c r="F44" s="6">
        <v>0.9</v>
      </c>
      <c r="G44" s="6" t="s">
        <v>364</v>
      </c>
      <c r="H44" s="8" t="s">
        <v>38</v>
      </c>
    </row>
    <row r="45" spans="1:8" x14ac:dyDescent="0.2">
      <c r="A45" s="6" t="s">
        <v>835</v>
      </c>
      <c r="B45" s="6" t="s">
        <v>366</v>
      </c>
      <c r="C45" s="6" t="s">
        <v>33</v>
      </c>
      <c r="D45" s="10">
        <v>0.8</v>
      </c>
      <c r="E45" s="6">
        <v>0.3</v>
      </c>
      <c r="F45" s="6">
        <v>0.9</v>
      </c>
      <c r="G45" s="6" t="s">
        <v>367</v>
      </c>
      <c r="H45" s="8" t="s">
        <v>38</v>
      </c>
    </row>
    <row r="46" spans="1:8" x14ac:dyDescent="0.2">
      <c r="A46" s="6" t="s">
        <v>836</v>
      </c>
      <c r="B46" s="6" t="s">
        <v>837</v>
      </c>
      <c r="C46" s="6" t="s">
        <v>370</v>
      </c>
      <c r="D46" s="19">
        <f>Aer_temp_min_ds</f>
        <v>-25</v>
      </c>
      <c r="E46" s="6"/>
      <c r="F46" s="6"/>
      <c r="G46" s="6" t="s">
        <v>320</v>
      </c>
      <c r="H46" s="8" t="s">
        <v>310</v>
      </c>
    </row>
    <row r="47" spans="1:8" ht="28" x14ac:dyDescent="0.2">
      <c r="A47" s="6" t="s">
        <v>838</v>
      </c>
      <c r="B47" s="6" t="s">
        <v>839</v>
      </c>
      <c r="C47" s="6" t="s">
        <v>33</v>
      </c>
      <c r="D47" s="10">
        <v>0.2</v>
      </c>
      <c r="E47" s="6">
        <v>0.1</v>
      </c>
      <c r="F47" s="6">
        <v>0.35</v>
      </c>
      <c r="G47" s="6" t="s">
        <v>840</v>
      </c>
      <c r="H47" s="8" t="s">
        <v>38</v>
      </c>
    </row>
    <row r="48" spans="1:8" ht="28" x14ac:dyDescent="0.2">
      <c r="A48" s="6" t="s">
        <v>841</v>
      </c>
      <c r="B48" s="6" t="s">
        <v>842</v>
      </c>
      <c r="C48" s="6" t="s">
        <v>374</v>
      </c>
      <c r="D48" s="21">
        <f>Aer_ramp_staff*Aer_driver_share*Aer_auto_share</f>
        <v>57.6</v>
      </c>
      <c r="E48" s="6"/>
      <c r="F48" s="6"/>
      <c r="G48" s="6" t="s">
        <v>375</v>
      </c>
      <c r="H48" s="8" t="s">
        <v>310</v>
      </c>
    </row>
    <row r="49" spans="1:25" x14ac:dyDescent="0.2">
      <c r="A49" s="6" t="s">
        <v>843</v>
      </c>
      <c r="B49" s="6" t="s">
        <v>380</v>
      </c>
      <c r="C49" s="6" t="s">
        <v>91</v>
      </c>
      <c r="D49" s="24">
        <f>Aer_fte_target*Aer_sal_ramp*12*N_fot</f>
        <v>89994240</v>
      </c>
      <c r="E49" s="6"/>
      <c r="F49" s="6"/>
      <c r="G49" s="6" t="s">
        <v>375</v>
      </c>
      <c r="H49" s="8" t="s">
        <v>310</v>
      </c>
    </row>
    <row r="50" spans="1:25" x14ac:dyDescent="0.2">
      <c r="A50" s="6" t="s">
        <v>844</v>
      </c>
      <c r="B50" s="6" t="s">
        <v>845</v>
      </c>
      <c r="C50" s="6" t="s">
        <v>91</v>
      </c>
      <c r="D50" s="24">
        <f>Aer_ramp_staff*Aer_driver_share*Aer_sal_ramp*12*N_fot</f>
        <v>99993600</v>
      </c>
      <c r="E50" s="6"/>
      <c r="F50" s="6"/>
      <c r="G50" s="6" t="s">
        <v>375</v>
      </c>
      <c r="H50" s="8" t="s">
        <v>310</v>
      </c>
    </row>
    <row r="51" spans="1:25" x14ac:dyDescent="0.2">
      <c r="A51" s="6" t="s">
        <v>846</v>
      </c>
      <c r="B51" s="6" t="s">
        <v>847</v>
      </c>
      <c r="C51" s="6" t="s">
        <v>290</v>
      </c>
      <c r="D51" s="19">
        <f>Aer_sal_ramp</f>
        <v>100000</v>
      </c>
      <c r="E51" s="6"/>
      <c r="F51" s="6"/>
      <c r="G51" s="6" t="s">
        <v>320</v>
      </c>
      <c r="H51" s="8" t="s">
        <v>310</v>
      </c>
    </row>
    <row r="52" spans="1:25" x14ac:dyDescent="0.2">
      <c r="A52" s="6" t="s">
        <v>848</v>
      </c>
      <c r="B52" s="6" t="s">
        <v>387</v>
      </c>
      <c r="C52" s="6" t="s">
        <v>33</v>
      </c>
      <c r="D52" s="20">
        <f>Aer_turnover_ds</f>
        <v>0.35</v>
      </c>
      <c r="E52" s="6"/>
      <c r="F52" s="6"/>
      <c r="G52" s="6" t="s">
        <v>320</v>
      </c>
      <c r="H52" s="8" t="s">
        <v>310</v>
      </c>
    </row>
    <row r="53" spans="1:25" x14ac:dyDescent="0.2">
      <c r="A53" s="6" t="s">
        <v>849</v>
      </c>
      <c r="B53" s="6" t="s">
        <v>850</v>
      </c>
      <c r="C53" s="6" t="s">
        <v>33</v>
      </c>
      <c r="D53" s="67">
        <f>N_loss_k_default</f>
        <v>0.25</v>
      </c>
      <c r="E53" s="6"/>
      <c r="F53" s="6"/>
      <c r="G53" s="6" t="s">
        <v>851</v>
      </c>
      <c r="H53" s="8" t="s">
        <v>310</v>
      </c>
    </row>
    <row r="54" spans="1:25" x14ac:dyDescent="0.2">
      <c r="A54" s="6" t="s">
        <v>852</v>
      </c>
      <c r="B54" s="6" t="s">
        <v>853</v>
      </c>
      <c r="C54" s="6" t="s">
        <v>391</v>
      </c>
      <c r="D54" s="12">
        <v>1</v>
      </c>
      <c r="E54" s="6">
        <v>0</v>
      </c>
      <c r="F54" s="6">
        <v>3</v>
      </c>
      <c r="G54" s="6" t="s">
        <v>59</v>
      </c>
      <c r="H54" s="8" t="s">
        <v>38</v>
      </c>
    </row>
    <row r="55" spans="1:25" x14ac:dyDescent="0.2">
      <c r="A55" s="6" t="s">
        <v>854</v>
      </c>
      <c r="B55" s="6" t="s">
        <v>393</v>
      </c>
      <c r="C55" s="6" t="s">
        <v>290</v>
      </c>
      <c r="D55" s="23">
        <f>Aer_sal_ramp</f>
        <v>100000</v>
      </c>
      <c r="E55" s="6"/>
      <c r="F55" s="6"/>
      <c r="G55" s="6" t="s">
        <v>855</v>
      </c>
      <c r="H55" s="8" t="s">
        <v>310</v>
      </c>
    </row>
    <row r="56" spans="1:25" ht="28" x14ac:dyDescent="0.2">
      <c r="A56" s="6" t="s">
        <v>856</v>
      </c>
      <c r="B56" s="6" t="s">
        <v>857</v>
      </c>
      <c r="C56" s="6" t="s">
        <v>33</v>
      </c>
      <c r="D56" s="10">
        <v>0.1</v>
      </c>
      <c r="E56" s="6">
        <v>0.05</v>
      </c>
      <c r="F56" s="6">
        <v>0.25</v>
      </c>
      <c r="G56" s="6" t="s">
        <v>858</v>
      </c>
      <c r="H56" s="8" t="s">
        <v>38</v>
      </c>
    </row>
    <row r="57" spans="1:25" x14ac:dyDescent="0.2">
      <c r="A57" s="6" t="s">
        <v>859</v>
      </c>
      <c r="B57" s="6" t="s">
        <v>860</v>
      </c>
      <c r="C57" s="6" t="s">
        <v>51</v>
      </c>
      <c r="D57" s="25">
        <v>3000000</v>
      </c>
      <c r="E57" s="6">
        <v>1000000</v>
      </c>
      <c r="F57" s="6">
        <v>10000000</v>
      </c>
      <c r="G57" s="6" t="s">
        <v>59</v>
      </c>
      <c r="H57" s="8" t="s">
        <v>38</v>
      </c>
    </row>
    <row r="58" spans="1:25" ht="28" x14ac:dyDescent="0.2">
      <c r="A58" s="6" t="s">
        <v>861</v>
      </c>
      <c r="B58" s="6" t="s">
        <v>401</v>
      </c>
      <c r="C58" s="6" t="s">
        <v>91</v>
      </c>
      <c r="D58" s="25">
        <v>0</v>
      </c>
      <c r="E58" s="6">
        <v>0</v>
      </c>
      <c r="F58" s="6">
        <v>300000</v>
      </c>
      <c r="G58" s="6" t="s">
        <v>862</v>
      </c>
      <c r="H58" s="8" t="s">
        <v>38</v>
      </c>
    </row>
    <row r="59" spans="1:25" ht="28" x14ac:dyDescent="0.2">
      <c r="A59" s="6" t="s">
        <v>863</v>
      </c>
      <c r="B59" s="6" t="s">
        <v>864</v>
      </c>
      <c r="C59" s="6" t="s">
        <v>91</v>
      </c>
      <c r="D59" s="25">
        <v>0</v>
      </c>
      <c r="E59" s="6">
        <v>0</v>
      </c>
      <c r="F59" s="6"/>
      <c r="G59" s="6" t="s">
        <v>865</v>
      </c>
      <c r="H59" s="8" t="s">
        <v>38</v>
      </c>
    </row>
    <row r="61" spans="1:25" ht="18" customHeight="1" x14ac:dyDescent="0.2">
      <c r="A61" s="18" t="s">
        <v>406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x14ac:dyDescent="0.2">
      <c r="A62" s="26"/>
      <c r="B62" s="27" t="s">
        <v>407</v>
      </c>
      <c r="C62" s="26"/>
      <c r="D62" s="26"/>
      <c r="E62" s="28" t="s">
        <v>408</v>
      </c>
      <c r="F62" s="29" t="s">
        <v>408</v>
      </c>
      <c r="G62" s="29" t="s">
        <v>408</v>
      </c>
      <c r="H62" s="29" t="s">
        <v>408</v>
      </c>
      <c r="I62" s="29" t="s">
        <v>408</v>
      </c>
      <c r="J62" s="29" t="s">
        <v>408</v>
      </c>
      <c r="K62" s="29" t="s">
        <v>408</v>
      </c>
      <c r="L62" s="28" t="s">
        <v>409</v>
      </c>
      <c r="M62" s="29" t="s">
        <v>409</v>
      </c>
      <c r="N62" s="29" t="s">
        <v>409</v>
      </c>
      <c r="O62" s="29" t="s">
        <v>409</v>
      </c>
      <c r="P62" s="29" t="s">
        <v>409</v>
      </c>
      <c r="Q62" s="29" t="s">
        <v>409</v>
      </c>
      <c r="R62" s="29" t="s">
        <v>409</v>
      </c>
      <c r="S62" s="28" t="s">
        <v>410</v>
      </c>
      <c r="T62" s="29" t="s">
        <v>410</v>
      </c>
      <c r="U62" s="29" t="s">
        <v>410</v>
      </c>
      <c r="V62" s="29" t="s">
        <v>410</v>
      </c>
      <c r="W62" s="29" t="s">
        <v>410</v>
      </c>
      <c r="X62" s="29" t="s">
        <v>410</v>
      </c>
      <c r="Y62" s="29" t="s">
        <v>410</v>
      </c>
    </row>
    <row r="63" spans="1:25" x14ac:dyDescent="0.2">
      <c r="A63" s="26"/>
      <c r="B63" s="27" t="s">
        <v>411</v>
      </c>
      <c r="C63" s="26"/>
      <c r="D63" s="26"/>
      <c r="E63" s="30" t="s">
        <v>222</v>
      </c>
      <c r="F63" s="31" t="s">
        <v>222</v>
      </c>
      <c r="G63" s="31" t="s">
        <v>222</v>
      </c>
      <c r="H63" s="31" t="s">
        <v>222</v>
      </c>
      <c r="I63" s="31" t="s">
        <v>222</v>
      </c>
      <c r="J63" s="31" t="s">
        <v>222</v>
      </c>
      <c r="K63" s="31" t="s">
        <v>222</v>
      </c>
      <c r="L63" s="30" t="s">
        <v>222</v>
      </c>
      <c r="M63" s="31" t="s">
        <v>222</v>
      </c>
      <c r="N63" s="31" t="s">
        <v>222</v>
      </c>
      <c r="O63" s="31" t="s">
        <v>222</v>
      </c>
      <c r="P63" s="31" t="s">
        <v>222</v>
      </c>
      <c r="Q63" s="31" t="s">
        <v>222</v>
      </c>
      <c r="R63" s="31" t="s">
        <v>222</v>
      </c>
      <c r="S63" s="30" t="s">
        <v>231</v>
      </c>
      <c r="T63" s="31" t="s">
        <v>231</v>
      </c>
      <c r="U63" s="31" t="s">
        <v>231</v>
      </c>
      <c r="V63" s="31" t="s">
        <v>231</v>
      </c>
      <c r="W63" s="31" t="s">
        <v>231</v>
      </c>
      <c r="X63" s="31" t="s">
        <v>231</v>
      </c>
      <c r="Y63" s="31" t="s">
        <v>231</v>
      </c>
    </row>
    <row r="64" spans="1:25" x14ac:dyDescent="0.2">
      <c r="A64" s="26"/>
      <c r="B64" s="27" t="s">
        <v>412</v>
      </c>
      <c r="C64" s="26"/>
      <c r="D64" s="26"/>
      <c r="E64" s="30" t="s">
        <v>413</v>
      </c>
      <c r="F64" s="31" t="s">
        <v>413</v>
      </c>
      <c r="G64" s="31" t="s">
        <v>413</v>
      </c>
      <c r="H64" s="31" t="s">
        <v>413</v>
      </c>
      <c r="I64" s="31" t="s">
        <v>413</v>
      </c>
      <c r="J64" s="31" t="s">
        <v>413</v>
      </c>
      <c r="K64" s="31" t="s">
        <v>413</v>
      </c>
      <c r="L64" s="30" t="s">
        <v>414</v>
      </c>
      <c r="M64" s="31" t="s">
        <v>414</v>
      </c>
      <c r="N64" s="31" t="s">
        <v>414</v>
      </c>
      <c r="O64" s="31" t="s">
        <v>414</v>
      </c>
      <c r="P64" s="31" t="s">
        <v>414</v>
      </c>
      <c r="Q64" s="31" t="s">
        <v>414</v>
      </c>
      <c r="R64" s="31" t="s">
        <v>414</v>
      </c>
      <c r="S64" s="30" t="s">
        <v>413</v>
      </c>
      <c r="T64" s="31" t="s">
        <v>413</v>
      </c>
      <c r="U64" s="31" t="s">
        <v>413</v>
      </c>
      <c r="V64" s="31" t="s">
        <v>413</v>
      </c>
      <c r="W64" s="31" t="s">
        <v>413</v>
      </c>
      <c r="X64" s="31" t="s">
        <v>413</v>
      </c>
      <c r="Y64" s="31" t="s">
        <v>413</v>
      </c>
    </row>
    <row r="65" spans="1:25" x14ac:dyDescent="0.2">
      <c r="A65" s="26"/>
      <c r="B65" s="27" t="s">
        <v>415</v>
      </c>
      <c r="C65" s="26"/>
      <c r="D65" s="26"/>
      <c r="E65" s="32">
        <v>1</v>
      </c>
      <c r="F65" s="33">
        <f>1-N_sens</f>
        <v>0.8</v>
      </c>
      <c r="G65" s="33">
        <f>1+N_sens</f>
        <v>1.2</v>
      </c>
      <c r="H65" s="33">
        <v>1</v>
      </c>
      <c r="I65" s="33">
        <v>1</v>
      </c>
      <c r="J65" s="33">
        <v>1</v>
      </c>
      <c r="K65" s="33">
        <v>1</v>
      </c>
      <c r="L65" s="32">
        <v>1</v>
      </c>
      <c r="M65" s="33">
        <f>1-N_sens</f>
        <v>0.8</v>
      </c>
      <c r="N65" s="33">
        <f>1+N_sens</f>
        <v>1.2</v>
      </c>
      <c r="O65" s="33">
        <v>1</v>
      </c>
      <c r="P65" s="33">
        <v>1</v>
      </c>
      <c r="Q65" s="33">
        <v>1</v>
      </c>
      <c r="R65" s="33">
        <v>1</v>
      </c>
      <c r="S65" s="32">
        <v>1</v>
      </c>
      <c r="T65" s="33">
        <f>1-N_sens</f>
        <v>0.8</v>
      </c>
      <c r="U65" s="33">
        <f>1+N_sens</f>
        <v>1.2</v>
      </c>
      <c r="V65" s="33">
        <v>1</v>
      </c>
      <c r="W65" s="33">
        <v>1</v>
      </c>
      <c r="X65" s="33">
        <v>1</v>
      </c>
      <c r="Y65" s="33">
        <v>1</v>
      </c>
    </row>
    <row r="66" spans="1:25" x14ac:dyDescent="0.2">
      <c r="A66" s="26"/>
      <c r="B66" s="27" t="s">
        <v>416</v>
      </c>
      <c r="C66" s="26"/>
      <c r="D66" s="26"/>
      <c r="E66" s="32">
        <v>1</v>
      </c>
      <c r="F66" s="33">
        <v>1</v>
      </c>
      <c r="G66" s="33">
        <v>1</v>
      </c>
      <c r="H66" s="33">
        <f>1-N_sens</f>
        <v>0.8</v>
      </c>
      <c r="I66" s="33">
        <f>1+N_sens</f>
        <v>1.2</v>
      </c>
      <c r="J66" s="33">
        <v>1</v>
      </c>
      <c r="K66" s="33">
        <v>1</v>
      </c>
      <c r="L66" s="32">
        <v>1</v>
      </c>
      <c r="M66" s="33">
        <v>1</v>
      </c>
      <c r="N66" s="33">
        <v>1</v>
      </c>
      <c r="O66" s="33">
        <f>1-N_sens</f>
        <v>0.8</v>
      </c>
      <c r="P66" s="33">
        <f>1+N_sens</f>
        <v>1.2</v>
      </c>
      <c r="Q66" s="33">
        <v>1</v>
      </c>
      <c r="R66" s="33">
        <v>1</v>
      </c>
      <c r="S66" s="32">
        <v>1</v>
      </c>
      <c r="T66" s="33">
        <v>1</v>
      </c>
      <c r="U66" s="33">
        <v>1</v>
      </c>
      <c r="V66" s="33">
        <f>1-N_sens</f>
        <v>0.8</v>
      </c>
      <c r="W66" s="33">
        <f>1+N_sens</f>
        <v>1.2</v>
      </c>
      <c r="X66" s="33">
        <v>1</v>
      </c>
      <c r="Y66" s="33">
        <v>1</v>
      </c>
    </row>
    <row r="67" spans="1:25" x14ac:dyDescent="0.2">
      <c r="A67" s="26"/>
      <c r="B67" s="27" t="s">
        <v>417</v>
      </c>
      <c r="C67" s="26"/>
      <c r="D67" s="26"/>
      <c r="E67" s="32">
        <v>1</v>
      </c>
      <c r="F67" s="33">
        <v>1</v>
      </c>
      <c r="G67" s="33">
        <v>1</v>
      </c>
      <c r="H67" s="33">
        <v>1</v>
      </c>
      <c r="I67" s="33">
        <v>1</v>
      </c>
      <c r="J67" s="33">
        <f>1-N_sens</f>
        <v>0.8</v>
      </c>
      <c r="K67" s="33">
        <f>1+N_sens</f>
        <v>1.2</v>
      </c>
      <c r="L67" s="32">
        <v>1</v>
      </c>
      <c r="M67" s="33">
        <v>1</v>
      </c>
      <c r="N67" s="33">
        <v>1</v>
      </c>
      <c r="O67" s="33">
        <v>1</v>
      </c>
      <c r="P67" s="33">
        <v>1</v>
      </c>
      <c r="Q67" s="33">
        <f>1-N_sens</f>
        <v>0.8</v>
      </c>
      <c r="R67" s="33">
        <f>1+N_sens</f>
        <v>1.2</v>
      </c>
      <c r="S67" s="32">
        <v>1</v>
      </c>
      <c r="T67" s="33">
        <v>1</v>
      </c>
      <c r="U67" s="33">
        <v>1</v>
      </c>
      <c r="V67" s="33">
        <v>1</v>
      </c>
      <c r="W67" s="33">
        <v>1</v>
      </c>
      <c r="X67" s="33">
        <f>1-N_sens</f>
        <v>0.8</v>
      </c>
      <c r="Y67" s="33">
        <f>1+N_sens</f>
        <v>1.2</v>
      </c>
    </row>
    <row r="68" spans="1:25" x14ac:dyDescent="0.2">
      <c r="A68" s="26"/>
      <c r="B68" s="27" t="s">
        <v>418</v>
      </c>
      <c r="C68" s="26"/>
      <c r="D68" s="26"/>
      <c r="E68" s="28" t="s">
        <v>419</v>
      </c>
      <c r="F68" s="29" t="s">
        <v>420</v>
      </c>
      <c r="G68" s="29" t="s">
        <v>421</v>
      </c>
      <c r="H68" s="29" t="s">
        <v>422</v>
      </c>
      <c r="I68" s="29" t="s">
        <v>423</v>
      </c>
      <c r="J68" s="29" t="s">
        <v>424</v>
      </c>
      <c r="K68" s="29" t="s">
        <v>425</v>
      </c>
      <c r="L68" s="28" t="s">
        <v>419</v>
      </c>
      <c r="M68" s="29" t="s">
        <v>420</v>
      </c>
      <c r="N68" s="29" t="s">
        <v>421</v>
      </c>
      <c r="O68" s="29" t="s">
        <v>422</v>
      </c>
      <c r="P68" s="29" t="s">
        <v>423</v>
      </c>
      <c r="Q68" s="29" t="s">
        <v>424</v>
      </c>
      <c r="R68" s="29" t="s">
        <v>425</v>
      </c>
      <c r="S68" s="28" t="s">
        <v>419</v>
      </c>
      <c r="T68" s="29" t="s">
        <v>420</v>
      </c>
      <c r="U68" s="29" t="s">
        <v>421</v>
      </c>
      <c r="V68" s="29" t="s">
        <v>422</v>
      </c>
      <c r="W68" s="29" t="s">
        <v>423</v>
      </c>
      <c r="X68" s="29" t="s">
        <v>424</v>
      </c>
      <c r="Y68" s="29" t="s">
        <v>425</v>
      </c>
    </row>
    <row r="70" spans="1:25" x14ac:dyDescent="0.2">
      <c r="A70" s="26"/>
      <c r="B70" s="27" t="s">
        <v>426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42" x14ac:dyDescent="0.2">
      <c r="A71" s="8" t="s">
        <v>427</v>
      </c>
      <c r="B71" s="6" t="s">
        <v>428</v>
      </c>
      <c r="C71" s="6"/>
      <c r="D71" s="8" t="s">
        <v>429</v>
      </c>
      <c r="E71" s="6" t="str">
        <f t="shared" ref="E71:Y71" si="0">INDEX(Cat_name,MATCH(E$63,Cat_code,0))</f>
        <v>Беспилотный тягач (Cognitive Pilot)</v>
      </c>
      <c r="F71" s="6" t="str">
        <f t="shared" si="0"/>
        <v>Беспилотный тягач (Cognitive Pilot)</v>
      </c>
      <c r="G71" s="6" t="str">
        <f t="shared" si="0"/>
        <v>Беспилотный тягач (Cognitive Pilot)</v>
      </c>
      <c r="H71" s="6" t="str">
        <f t="shared" si="0"/>
        <v>Беспилотный тягач (Cognitive Pilot)</v>
      </c>
      <c r="I71" s="6" t="str">
        <f t="shared" si="0"/>
        <v>Беспилотный тягач (Cognitive Pilot)</v>
      </c>
      <c r="J71" s="6" t="str">
        <f t="shared" si="0"/>
        <v>Беспилотный тягач (Cognitive Pilot)</v>
      </c>
      <c r="K71" s="6" t="str">
        <f t="shared" si="0"/>
        <v>Беспилотный тягач (Cognitive Pilot)</v>
      </c>
      <c r="L71" s="6" t="str">
        <f t="shared" si="0"/>
        <v>Беспилотный тягач (Cognitive Pilot)</v>
      </c>
      <c r="M71" s="6" t="str">
        <f t="shared" si="0"/>
        <v>Беспилотный тягач (Cognitive Pilot)</v>
      </c>
      <c r="N71" s="6" t="str">
        <f t="shared" si="0"/>
        <v>Беспилотный тягач (Cognitive Pilot)</v>
      </c>
      <c r="O71" s="6" t="str">
        <f t="shared" si="0"/>
        <v>Беспилотный тягач (Cognitive Pilot)</v>
      </c>
      <c r="P71" s="6" t="str">
        <f t="shared" si="0"/>
        <v>Беспилотный тягач (Cognitive Pilot)</v>
      </c>
      <c r="Q71" s="6" t="str">
        <f t="shared" si="0"/>
        <v>Беспилотный тягач (Cognitive Pilot)</v>
      </c>
      <c r="R71" s="6" t="str">
        <f t="shared" si="0"/>
        <v>Беспилотный тягач (Cognitive Pilot)</v>
      </c>
      <c r="S71" s="6" t="str">
        <f t="shared" si="0"/>
        <v>EVOCARGO N1 (беспилотный электрогрузовик)</v>
      </c>
      <c r="T71" s="6" t="str">
        <f t="shared" si="0"/>
        <v>EVOCARGO N1 (беспилотный электрогрузовик)</v>
      </c>
      <c r="U71" s="6" t="str">
        <f t="shared" si="0"/>
        <v>EVOCARGO N1 (беспилотный электрогрузовик)</v>
      </c>
      <c r="V71" s="6" t="str">
        <f t="shared" si="0"/>
        <v>EVOCARGO N1 (беспилотный электрогрузовик)</v>
      </c>
      <c r="W71" s="6" t="str">
        <f t="shared" si="0"/>
        <v>EVOCARGO N1 (беспилотный электрогрузовик)</v>
      </c>
      <c r="X71" s="6" t="str">
        <f t="shared" si="0"/>
        <v>EVOCARGO N1 (беспилотный электрогрузовик)</v>
      </c>
      <c r="Y71" s="6" t="str">
        <f t="shared" si="0"/>
        <v>EVOCARGO N1 (беспилотный электрогрузовик)</v>
      </c>
    </row>
    <row r="72" spans="1:25" x14ac:dyDescent="0.2">
      <c r="A72" s="8" t="s">
        <v>430</v>
      </c>
      <c r="B72" s="6" t="s">
        <v>431</v>
      </c>
      <c r="C72" s="6"/>
      <c r="D72" s="8" t="s">
        <v>432</v>
      </c>
      <c r="E72" s="6" t="str">
        <f t="shared" ref="E72:Y72" si="1">INDEX(Cat_status,MATCH(E$63,Cat_code,0))</f>
        <v>operation</v>
      </c>
      <c r="F72" s="6" t="str">
        <f t="shared" si="1"/>
        <v>operation</v>
      </c>
      <c r="G72" s="6" t="str">
        <f t="shared" si="1"/>
        <v>operation</v>
      </c>
      <c r="H72" s="6" t="str">
        <f t="shared" si="1"/>
        <v>operation</v>
      </c>
      <c r="I72" s="6" t="str">
        <f t="shared" si="1"/>
        <v>operation</v>
      </c>
      <c r="J72" s="6" t="str">
        <f t="shared" si="1"/>
        <v>operation</v>
      </c>
      <c r="K72" s="6" t="str">
        <f t="shared" si="1"/>
        <v>operation</v>
      </c>
      <c r="L72" s="6" t="str">
        <f t="shared" si="1"/>
        <v>operation</v>
      </c>
      <c r="M72" s="6" t="str">
        <f t="shared" si="1"/>
        <v>operation</v>
      </c>
      <c r="N72" s="6" t="str">
        <f t="shared" si="1"/>
        <v>operation</v>
      </c>
      <c r="O72" s="6" t="str">
        <f t="shared" si="1"/>
        <v>operation</v>
      </c>
      <c r="P72" s="6" t="str">
        <f t="shared" si="1"/>
        <v>operation</v>
      </c>
      <c r="Q72" s="6" t="str">
        <f t="shared" si="1"/>
        <v>operation</v>
      </c>
      <c r="R72" s="6" t="str">
        <f t="shared" si="1"/>
        <v>operation</v>
      </c>
      <c r="S72" s="6" t="str">
        <f t="shared" si="1"/>
        <v>operation</v>
      </c>
      <c r="T72" s="6" t="str">
        <f t="shared" si="1"/>
        <v>operation</v>
      </c>
      <c r="U72" s="6" t="str">
        <f t="shared" si="1"/>
        <v>operation</v>
      </c>
      <c r="V72" s="6" t="str">
        <f t="shared" si="1"/>
        <v>operation</v>
      </c>
      <c r="W72" s="6" t="str">
        <f t="shared" si="1"/>
        <v>operation</v>
      </c>
      <c r="X72" s="6" t="str">
        <f t="shared" si="1"/>
        <v>operation</v>
      </c>
      <c r="Y72" s="6" t="str">
        <f t="shared" si="1"/>
        <v>operation</v>
      </c>
    </row>
    <row r="73" spans="1:25" x14ac:dyDescent="0.2">
      <c r="A73" s="8" t="s">
        <v>433</v>
      </c>
      <c r="B73" s="6" t="s">
        <v>157</v>
      </c>
      <c r="C73" s="6"/>
      <c r="D73" s="8" t="s">
        <v>434</v>
      </c>
      <c r="E73" s="6" t="str">
        <f t="shared" ref="E73:Y73" si="2">INDEX(Cat_conf,MATCH(E$63,Cat_code,0))</f>
        <v>Да</v>
      </c>
      <c r="F73" s="6" t="str">
        <f t="shared" si="2"/>
        <v>Да</v>
      </c>
      <c r="G73" s="6" t="str">
        <f t="shared" si="2"/>
        <v>Да</v>
      </c>
      <c r="H73" s="6" t="str">
        <f t="shared" si="2"/>
        <v>Да</v>
      </c>
      <c r="I73" s="6" t="str">
        <f t="shared" si="2"/>
        <v>Да</v>
      </c>
      <c r="J73" s="6" t="str">
        <f t="shared" si="2"/>
        <v>Да</v>
      </c>
      <c r="K73" s="6" t="str">
        <f t="shared" si="2"/>
        <v>Да</v>
      </c>
      <c r="L73" s="6" t="str">
        <f t="shared" si="2"/>
        <v>Да</v>
      </c>
      <c r="M73" s="6" t="str">
        <f t="shared" si="2"/>
        <v>Да</v>
      </c>
      <c r="N73" s="6" t="str">
        <f t="shared" si="2"/>
        <v>Да</v>
      </c>
      <c r="O73" s="6" t="str">
        <f t="shared" si="2"/>
        <v>Да</v>
      </c>
      <c r="P73" s="6" t="str">
        <f t="shared" si="2"/>
        <v>Да</v>
      </c>
      <c r="Q73" s="6" t="str">
        <f t="shared" si="2"/>
        <v>Да</v>
      </c>
      <c r="R73" s="6" t="str">
        <f t="shared" si="2"/>
        <v>Да</v>
      </c>
      <c r="S73" s="6" t="str">
        <f t="shared" si="2"/>
        <v>Да</v>
      </c>
      <c r="T73" s="6" t="str">
        <f t="shared" si="2"/>
        <v>Да</v>
      </c>
      <c r="U73" s="6" t="str">
        <f t="shared" si="2"/>
        <v>Да</v>
      </c>
      <c r="V73" s="6" t="str">
        <f t="shared" si="2"/>
        <v>Да</v>
      </c>
      <c r="W73" s="6" t="str">
        <f t="shared" si="2"/>
        <v>Да</v>
      </c>
      <c r="X73" s="6" t="str">
        <f t="shared" si="2"/>
        <v>Да</v>
      </c>
      <c r="Y73" s="6" t="str">
        <f t="shared" si="2"/>
        <v>Да</v>
      </c>
    </row>
    <row r="74" spans="1:25" x14ac:dyDescent="0.2">
      <c r="A74" s="8" t="s">
        <v>435</v>
      </c>
      <c r="B74" s="6" t="s">
        <v>436</v>
      </c>
      <c r="C74" s="6" t="s">
        <v>51</v>
      </c>
      <c r="D74" s="8" t="s">
        <v>437</v>
      </c>
      <c r="E74" s="34">
        <f t="shared" ref="E74:Y74" si="3">INDEX(Cat_price,MATCH(E$63,Cat_code,0))</f>
        <v>4000000</v>
      </c>
      <c r="F74" s="34">
        <f t="shared" si="3"/>
        <v>4000000</v>
      </c>
      <c r="G74" s="34">
        <f t="shared" si="3"/>
        <v>4000000</v>
      </c>
      <c r="H74" s="34">
        <f t="shared" si="3"/>
        <v>4000000</v>
      </c>
      <c r="I74" s="34">
        <f t="shared" si="3"/>
        <v>4000000</v>
      </c>
      <c r="J74" s="34">
        <f t="shared" si="3"/>
        <v>4000000</v>
      </c>
      <c r="K74" s="34">
        <f t="shared" si="3"/>
        <v>4000000</v>
      </c>
      <c r="L74" s="34">
        <f t="shared" si="3"/>
        <v>4000000</v>
      </c>
      <c r="M74" s="34">
        <f t="shared" si="3"/>
        <v>4000000</v>
      </c>
      <c r="N74" s="34">
        <f t="shared" si="3"/>
        <v>4000000</v>
      </c>
      <c r="O74" s="34">
        <f t="shared" si="3"/>
        <v>4000000</v>
      </c>
      <c r="P74" s="34">
        <f t="shared" si="3"/>
        <v>4000000</v>
      </c>
      <c r="Q74" s="34">
        <f t="shared" si="3"/>
        <v>4000000</v>
      </c>
      <c r="R74" s="34">
        <f t="shared" si="3"/>
        <v>4000000</v>
      </c>
      <c r="S74" s="34">
        <f t="shared" si="3"/>
        <v>6000000</v>
      </c>
      <c r="T74" s="34">
        <f t="shared" si="3"/>
        <v>6000000</v>
      </c>
      <c r="U74" s="34">
        <f t="shared" si="3"/>
        <v>6000000</v>
      </c>
      <c r="V74" s="34">
        <f t="shared" si="3"/>
        <v>6000000</v>
      </c>
      <c r="W74" s="34">
        <f t="shared" si="3"/>
        <v>6000000</v>
      </c>
      <c r="X74" s="34">
        <f t="shared" si="3"/>
        <v>6000000</v>
      </c>
      <c r="Y74" s="34">
        <f t="shared" si="3"/>
        <v>6000000</v>
      </c>
    </row>
    <row r="75" spans="1:25" x14ac:dyDescent="0.2">
      <c r="A75" s="8" t="s">
        <v>438</v>
      </c>
      <c r="B75" s="6" t="s">
        <v>439</v>
      </c>
      <c r="C75" s="6" t="s">
        <v>51</v>
      </c>
      <c r="D75" s="8" t="s">
        <v>440</v>
      </c>
      <c r="E75" s="34">
        <f t="shared" ref="E75:Y75" si="4">E74*E$65</f>
        <v>4000000</v>
      </c>
      <c r="F75" s="34">
        <f t="shared" si="4"/>
        <v>3200000</v>
      </c>
      <c r="G75" s="34">
        <f t="shared" si="4"/>
        <v>4800000</v>
      </c>
      <c r="H75" s="34">
        <f t="shared" si="4"/>
        <v>4000000</v>
      </c>
      <c r="I75" s="34">
        <f t="shared" si="4"/>
        <v>4000000</v>
      </c>
      <c r="J75" s="34">
        <f t="shared" si="4"/>
        <v>4000000</v>
      </c>
      <c r="K75" s="34">
        <f t="shared" si="4"/>
        <v>4000000</v>
      </c>
      <c r="L75" s="34">
        <f t="shared" si="4"/>
        <v>4000000</v>
      </c>
      <c r="M75" s="34">
        <f t="shared" si="4"/>
        <v>3200000</v>
      </c>
      <c r="N75" s="34">
        <f t="shared" si="4"/>
        <v>4800000</v>
      </c>
      <c r="O75" s="34">
        <f t="shared" si="4"/>
        <v>4000000</v>
      </c>
      <c r="P75" s="34">
        <f t="shared" si="4"/>
        <v>4000000</v>
      </c>
      <c r="Q75" s="34">
        <f t="shared" si="4"/>
        <v>4000000</v>
      </c>
      <c r="R75" s="34">
        <f t="shared" si="4"/>
        <v>4000000</v>
      </c>
      <c r="S75" s="34">
        <f t="shared" si="4"/>
        <v>6000000</v>
      </c>
      <c r="T75" s="34">
        <f t="shared" si="4"/>
        <v>4800000</v>
      </c>
      <c r="U75" s="34">
        <f t="shared" si="4"/>
        <v>7200000</v>
      </c>
      <c r="V75" s="34">
        <f t="shared" si="4"/>
        <v>6000000</v>
      </c>
      <c r="W75" s="34">
        <f t="shared" si="4"/>
        <v>6000000</v>
      </c>
      <c r="X75" s="34">
        <f t="shared" si="4"/>
        <v>6000000</v>
      </c>
      <c r="Y75" s="34">
        <f t="shared" si="4"/>
        <v>6000000</v>
      </c>
    </row>
    <row r="76" spans="1:25" x14ac:dyDescent="0.2">
      <c r="A76" s="8" t="s">
        <v>441</v>
      </c>
      <c r="B76" s="6" t="s">
        <v>442</v>
      </c>
      <c r="C76" s="6" t="s">
        <v>295</v>
      </c>
      <c r="D76" s="8" t="s">
        <v>443</v>
      </c>
      <c r="E76" s="35">
        <f t="shared" ref="E76:Y76" si="5">INDEX(Cat_cap,MATCH(E$63,Cat_code,0))</f>
        <v>3000</v>
      </c>
      <c r="F76" s="35">
        <f t="shared" si="5"/>
        <v>3000</v>
      </c>
      <c r="G76" s="35">
        <f t="shared" si="5"/>
        <v>3000</v>
      </c>
      <c r="H76" s="35">
        <f t="shared" si="5"/>
        <v>3000</v>
      </c>
      <c r="I76" s="35">
        <f t="shared" si="5"/>
        <v>3000</v>
      </c>
      <c r="J76" s="35">
        <f t="shared" si="5"/>
        <v>3000</v>
      </c>
      <c r="K76" s="35">
        <f t="shared" si="5"/>
        <v>3000</v>
      </c>
      <c r="L76" s="35">
        <f t="shared" si="5"/>
        <v>3000</v>
      </c>
      <c r="M76" s="35">
        <f t="shared" si="5"/>
        <v>3000</v>
      </c>
      <c r="N76" s="35">
        <f t="shared" si="5"/>
        <v>3000</v>
      </c>
      <c r="O76" s="35">
        <f t="shared" si="5"/>
        <v>3000</v>
      </c>
      <c r="P76" s="35">
        <f t="shared" si="5"/>
        <v>3000</v>
      </c>
      <c r="Q76" s="35">
        <f t="shared" si="5"/>
        <v>3000</v>
      </c>
      <c r="R76" s="35">
        <f t="shared" si="5"/>
        <v>3000</v>
      </c>
      <c r="S76" s="35">
        <f t="shared" si="5"/>
        <v>2000</v>
      </c>
      <c r="T76" s="35">
        <f t="shared" si="5"/>
        <v>2000</v>
      </c>
      <c r="U76" s="35">
        <f t="shared" si="5"/>
        <v>2000</v>
      </c>
      <c r="V76" s="35">
        <f t="shared" si="5"/>
        <v>2000</v>
      </c>
      <c r="W76" s="35">
        <f t="shared" si="5"/>
        <v>2000</v>
      </c>
      <c r="X76" s="35">
        <f t="shared" si="5"/>
        <v>2000</v>
      </c>
      <c r="Y76" s="35">
        <f t="shared" si="5"/>
        <v>2000</v>
      </c>
    </row>
    <row r="77" spans="1:25" x14ac:dyDescent="0.2">
      <c r="A77" s="8" t="s">
        <v>444</v>
      </c>
      <c r="B77" s="6" t="s">
        <v>445</v>
      </c>
      <c r="C77" s="6" t="s">
        <v>330</v>
      </c>
      <c r="D77" s="8" t="s">
        <v>446</v>
      </c>
      <c r="E77" s="36">
        <f t="shared" ref="E77:Y77" si="6">INDEX(Cat_vmax,MATCH(E$63,Cat_code,0))</f>
        <v>4.17</v>
      </c>
      <c r="F77" s="36">
        <f t="shared" si="6"/>
        <v>4.17</v>
      </c>
      <c r="G77" s="36">
        <f t="shared" si="6"/>
        <v>4.17</v>
      </c>
      <c r="H77" s="36">
        <f t="shared" si="6"/>
        <v>4.17</v>
      </c>
      <c r="I77" s="36">
        <f t="shared" si="6"/>
        <v>4.17</v>
      </c>
      <c r="J77" s="36">
        <f t="shared" si="6"/>
        <v>4.17</v>
      </c>
      <c r="K77" s="36">
        <f t="shared" si="6"/>
        <v>4.17</v>
      </c>
      <c r="L77" s="36">
        <f t="shared" si="6"/>
        <v>4.17</v>
      </c>
      <c r="M77" s="36">
        <f t="shared" si="6"/>
        <v>4.17</v>
      </c>
      <c r="N77" s="36">
        <f t="shared" si="6"/>
        <v>4.17</v>
      </c>
      <c r="O77" s="36">
        <f t="shared" si="6"/>
        <v>4.17</v>
      </c>
      <c r="P77" s="36">
        <f t="shared" si="6"/>
        <v>4.17</v>
      </c>
      <c r="Q77" s="36">
        <f t="shared" si="6"/>
        <v>4.17</v>
      </c>
      <c r="R77" s="36">
        <f t="shared" si="6"/>
        <v>4.17</v>
      </c>
      <c r="S77" s="36">
        <f t="shared" si="6"/>
        <v>5.56</v>
      </c>
      <c r="T77" s="36">
        <f t="shared" si="6"/>
        <v>5.56</v>
      </c>
      <c r="U77" s="36">
        <f t="shared" si="6"/>
        <v>5.56</v>
      </c>
      <c r="V77" s="36">
        <f t="shared" si="6"/>
        <v>5.56</v>
      </c>
      <c r="W77" s="36">
        <f t="shared" si="6"/>
        <v>5.56</v>
      </c>
      <c r="X77" s="36">
        <f t="shared" si="6"/>
        <v>5.56</v>
      </c>
      <c r="Y77" s="36">
        <f t="shared" si="6"/>
        <v>5.56</v>
      </c>
    </row>
    <row r="78" spans="1:25" x14ac:dyDescent="0.2">
      <c r="A78" s="8" t="s">
        <v>447</v>
      </c>
      <c r="B78" s="6" t="s">
        <v>448</v>
      </c>
      <c r="C78" s="6" t="s">
        <v>337</v>
      </c>
      <c r="D78" s="8" t="s">
        <v>449</v>
      </c>
      <c r="E78" s="35">
        <f t="shared" ref="E78:Y78" si="7">INDEX(Cat_tload,MATCH(E$63,Cat_code,0))</f>
        <v>180</v>
      </c>
      <c r="F78" s="35">
        <f t="shared" si="7"/>
        <v>180</v>
      </c>
      <c r="G78" s="35">
        <f t="shared" si="7"/>
        <v>180</v>
      </c>
      <c r="H78" s="35">
        <f t="shared" si="7"/>
        <v>180</v>
      </c>
      <c r="I78" s="35">
        <f t="shared" si="7"/>
        <v>180</v>
      </c>
      <c r="J78" s="35">
        <f t="shared" si="7"/>
        <v>180</v>
      </c>
      <c r="K78" s="35">
        <f t="shared" si="7"/>
        <v>180</v>
      </c>
      <c r="L78" s="35">
        <f t="shared" si="7"/>
        <v>180</v>
      </c>
      <c r="M78" s="35">
        <f t="shared" si="7"/>
        <v>180</v>
      </c>
      <c r="N78" s="35">
        <f t="shared" si="7"/>
        <v>180</v>
      </c>
      <c r="O78" s="35">
        <f t="shared" si="7"/>
        <v>180</v>
      </c>
      <c r="P78" s="35">
        <f t="shared" si="7"/>
        <v>180</v>
      </c>
      <c r="Q78" s="35">
        <f t="shared" si="7"/>
        <v>180</v>
      </c>
      <c r="R78" s="35">
        <f t="shared" si="7"/>
        <v>180</v>
      </c>
      <c r="S78" s="35">
        <f t="shared" si="7"/>
        <v>240</v>
      </c>
      <c r="T78" s="35">
        <f t="shared" si="7"/>
        <v>240</v>
      </c>
      <c r="U78" s="35">
        <f t="shared" si="7"/>
        <v>240</v>
      </c>
      <c r="V78" s="35">
        <f t="shared" si="7"/>
        <v>240</v>
      </c>
      <c r="W78" s="35">
        <f t="shared" si="7"/>
        <v>240</v>
      </c>
      <c r="X78" s="35">
        <f t="shared" si="7"/>
        <v>240</v>
      </c>
      <c r="Y78" s="35">
        <f t="shared" si="7"/>
        <v>240</v>
      </c>
    </row>
    <row r="79" spans="1:25" x14ac:dyDescent="0.2">
      <c r="A79" s="8" t="s">
        <v>450</v>
      </c>
      <c r="B79" s="6" t="s">
        <v>451</v>
      </c>
      <c r="C79" s="6" t="s">
        <v>337</v>
      </c>
      <c r="D79" s="8" t="s">
        <v>452</v>
      </c>
      <c r="E79" s="35">
        <f t="shared" ref="E79:Y79" si="8">INDEX(Cat_tunload,MATCH(E$63,Cat_code,0))</f>
        <v>180</v>
      </c>
      <c r="F79" s="35">
        <f t="shared" si="8"/>
        <v>180</v>
      </c>
      <c r="G79" s="35">
        <f t="shared" si="8"/>
        <v>180</v>
      </c>
      <c r="H79" s="35">
        <f t="shared" si="8"/>
        <v>180</v>
      </c>
      <c r="I79" s="35">
        <f t="shared" si="8"/>
        <v>180</v>
      </c>
      <c r="J79" s="35">
        <f t="shared" si="8"/>
        <v>180</v>
      </c>
      <c r="K79" s="35">
        <f t="shared" si="8"/>
        <v>180</v>
      </c>
      <c r="L79" s="35">
        <f t="shared" si="8"/>
        <v>180</v>
      </c>
      <c r="M79" s="35">
        <f t="shared" si="8"/>
        <v>180</v>
      </c>
      <c r="N79" s="35">
        <f t="shared" si="8"/>
        <v>180</v>
      </c>
      <c r="O79" s="35">
        <f t="shared" si="8"/>
        <v>180</v>
      </c>
      <c r="P79" s="35">
        <f t="shared" si="8"/>
        <v>180</v>
      </c>
      <c r="Q79" s="35">
        <f t="shared" si="8"/>
        <v>180</v>
      </c>
      <c r="R79" s="35">
        <f t="shared" si="8"/>
        <v>180</v>
      </c>
      <c r="S79" s="35">
        <f t="shared" si="8"/>
        <v>240</v>
      </c>
      <c r="T79" s="35">
        <f t="shared" si="8"/>
        <v>240</v>
      </c>
      <c r="U79" s="35">
        <f t="shared" si="8"/>
        <v>240</v>
      </c>
      <c r="V79" s="35">
        <f t="shared" si="8"/>
        <v>240</v>
      </c>
      <c r="W79" s="35">
        <f t="shared" si="8"/>
        <v>240</v>
      </c>
      <c r="X79" s="35">
        <f t="shared" si="8"/>
        <v>240</v>
      </c>
      <c r="Y79" s="35">
        <f t="shared" si="8"/>
        <v>240</v>
      </c>
    </row>
    <row r="80" spans="1:25" x14ac:dyDescent="0.2">
      <c r="A80" s="8" t="s">
        <v>453</v>
      </c>
      <c r="B80" s="6" t="s">
        <v>454</v>
      </c>
      <c r="C80" s="6" t="s">
        <v>55</v>
      </c>
      <c r="D80" s="8" t="s">
        <v>455</v>
      </c>
      <c r="E80" s="36">
        <f t="shared" ref="E80:Y80" si="9">INDEX(Cat_power,MATCH(E$63,Cat_code,0))</f>
        <v>6</v>
      </c>
      <c r="F80" s="36">
        <f t="shared" si="9"/>
        <v>6</v>
      </c>
      <c r="G80" s="36">
        <f t="shared" si="9"/>
        <v>6</v>
      </c>
      <c r="H80" s="36">
        <f t="shared" si="9"/>
        <v>6</v>
      </c>
      <c r="I80" s="36">
        <f t="shared" si="9"/>
        <v>6</v>
      </c>
      <c r="J80" s="36">
        <f t="shared" si="9"/>
        <v>6</v>
      </c>
      <c r="K80" s="36">
        <f t="shared" si="9"/>
        <v>6</v>
      </c>
      <c r="L80" s="36">
        <f t="shared" si="9"/>
        <v>6</v>
      </c>
      <c r="M80" s="36">
        <f t="shared" si="9"/>
        <v>6</v>
      </c>
      <c r="N80" s="36">
        <f t="shared" si="9"/>
        <v>6</v>
      </c>
      <c r="O80" s="36">
        <f t="shared" si="9"/>
        <v>6</v>
      </c>
      <c r="P80" s="36">
        <f t="shared" si="9"/>
        <v>6</v>
      </c>
      <c r="Q80" s="36">
        <f t="shared" si="9"/>
        <v>6</v>
      </c>
      <c r="R80" s="36">
        <f t="shared" si="9"/>
        <v>6</v>
      </c>
      <c r="S80" s="36">
        <f t="shared" si="9"/>
        <v>6</v>
      </c>
      <c r="T80" s="36">
        <f t="shared" si="9"/>
        <v>6</v>
      </c>
      <c r="U80" s="36">
        <f t="shared" si="9"/>
        <v>6</v>
      </c>
      <c r="V80" s="36">
        <f t="shared" si="9"/>
        <v>6</v>
      </c>
      <c r="W80" s="36">
        <f t="shared" si="9"/>
        <v>6</v>
      </c>
      <c r="X80" s="36">
        <f t="shared" si="9"/>
        <v>6</v>
      </c>
      <c r="Y80" s="36">
        <f t="shared" si="9"/>
        <v>6</v>
      </c>
    </row>
    <row r="81" spans="1:25" x14ac:dyDescent="0.2">
      <c r="A81" s="8" t="s">
        <v>456</v>
      </c>
      <c r="B81" s="6" t="s">
        <v>153</v>
      </c>
      <c r="C81" s="6"/>
      <c r="D81" s="8" t="s">
        <v>457</v>
      </c>
      <c r="E81" s="6" t="str">
        <f t="shared" ref="E81:Y81" si="10">INDEX(Cat_handling,MATCH(E$63,Cat_code,0))</f>
        <v>буксировка</v>
      </c>
      <c r="F81" s="6" t="str">
        <f t="shared" si="10"/>
        <v>буксировка</v>
      </c>
      <c r="G81" s="6" t="str">
        <f t="shared" si="10"/>
        <v>буксировка</v>
      </c>
      <c r="H81" s="6" t="str">
        <f t="shared" si="10"/>
        <v>буксировка</v>
      </c>
      <c r="I81" s="6" t="str">
        <f t="shared" si="10"/>
        <v>буксировка</v>
      </c>
      <c r="J81" s="6" t="str">
        <f t="shared" si="10"/>
        <v>буксировка</v>
      </c>
      <c r="K81" s="6" t="str">
        <f t="shared" si="10"/>
        <v>буксировка</v>
      </c>
      <c r="L81" s="6" t="str">
        <f t="shared" si="10"/>
        <v>буксировка</v>
      </c>
      <c r="M81" s="6" t="str">
        <f t="shared" si="10"/>
        <v>буксировка</v>
      </c>
      <c r="N81" s="6" t="str">
        <f t="shared" si="10"/>
        <v>буксировка</v>
      </c>
      <c r="O81" s="6" t="str">
        <f t="shared" si="10"/>
        <v>буксировка</v>
      </c>
      <c r="P81" s="6" t="str">
        <f t="shared" si="10"/>
        <v>буксировка</v>
      </c>
      <c r="Q81" s="6" t="str">
        <f t="shared" si="10"/>
        <v>буксировка</v>
      </c>
      <c r="R81" s="6" t="str">
        <f t="shared" si="10"/>
        <v>буксировка</v>
      </c>
      <c r="S81" s="6" t="str">
        <f t="shared" si="10"/>
        <v>кузов</v>
      </c>
      <c r="T81" s="6" t="str">
        <f t="shared" si="10"/>
        <v>кузов</v>
      </c>
      <c r="U81" s="6" t="str">
        <f t="shared" si="10"/>
        <v>кузов</v>
      </c>
      <c r="V81" s="6" t="str">
        <f t="shared" si="10"/>
        <v>кузов</v>
      </c>
      <c r="W81" s="6" t="str">
        <f t="shared" si="10"/>
        <v>кузов</v>
      </c>
      <c r="X81" s="6" t="str">
        <f t="shared" si="10"/>
        <v>кузов</v>
      </c>
      <c r="Y81" s="6" t="str">
        <f t="shared" si="10"/>
        <v>кузов</v>
      </c>
    </row>
    <row r="82" spans="1:25" x14ac:dyDescent="0.2">
      <c r="A82" s="8" t="s">
        <v>458</v>
      </c>
      <c r="B82" s="6" t="s">
        <v>459</v>
      </c>
      <c r="C82" s="6" t="s">
        <v>323</v>
      </c>
      <c r="D82" s="8" t="s">
        <v>460</v>
      </c>
      <c r="E82" s="35">
        <f t="shared" ref="E82:Y82" si="11">INDEX(Cat_indoor,MATCH(E$63,Cat_code,0))</f>
        <v>0</v>
      </c>
      <c r="F82" s="35">
        <f t="shared" si="11"/>
        <v>0</v>
      </c>
      <c r="G82" s="35">
        <f t="shared" si="11"/>
        <v>0</v>
      </c>
      <c r="H82" s="35">
        <f t="shared" si="11"/>
        <v>0</v>
      </c>
      <c r="I82" s="35">
        <f t="shared" si="11"/>
        <v>0</v>
      </c>
      <c r="J82" s="35">
        <f t="shared" si="11"/>
        <v>0</v>
      </c>
      <c r="K82" s="35">
        <f t="shared" si="11"/>
        <v>0</v>
      </c>
      <c r="L82" s="35">
        <f t="shared" si="11"/>
        <v>0</v>
      </c>
      <c r="M82" s="35">
        <f t="shared" si="11"/>
        <v>0</v>
      </c>
      <c r="N82" s="35">
        <f t="shared" si="11"/>
        <v>0</v>
      </c>
      <c r="O82" s="35">
        <f t="shared" si="11"/>
        <v>0</v>
      </c>
      <c r="P82" s="35">
        <f t="shared" si="11"/>
        <v>0</v>
      </c>
      <c r="Q82" s="35">
        <f t="shared" si="11"/>
        <v>0</v>
      </c>
      <c r="R82" s="35">
        <f t="shared" si="11"/>
        <v>0</v>
      </c>
      <c r="S82" s="35">
        <f t="shared" si="11"/>
        <v>0</v>
      </c>
      <c r="T82" s="35">
        <f t="shared" si="11"/>
        <v>0</v>
      </c>
      <c r="U82" s="35">
        <f t="shared" si="11"/>
        <v>0</v>
      </c>
      <c r="V82" s="35">
        <f t="shared" si="11"/>
        <v>0</v>
      </c>
      <c r="W82" s="35">
        <f t="shared" si="11"/>
        <v>0</v>
      </c>
      <c r="X82" s="35">
        <f t="shared" si="11"/>
        <v>0</v>
      </c>
      <c r="Y82" s="35">
        <f t="shared" si="11"/>
        <v>0</v>
      </c>
    </row>
    <row r="83" spans="1:25" x14ac:dyDescent="0.2">
      <c r="A83" s="8" t="s">
        <v>461</v>
      </c>
      <c r="B83" s="6" t="s">
        <v>462</v>
      </c>
      <c r="C83" s="6"/>
      <c r="D83" s="8" t="s">
        <v>463</v>
      </c>
      <c r="E83" s="6" t="str">
        <f t="shared" ref="E83:Y83" si="12">INDEX(Cat_task,MATCH(E$63,Cat_code,0))</f>
        <v>транспорт</v>
      </c>
      <c r="F83" s="6" t="str">
        <f t="shared" si="12"/>
        <v>транспорт</v>
      </c>
      <c r="G83" s="6" t="str">
        <f t="shared" si="12"/>
        <v>транспорт</v>
      </c>
      <c r="H83" s="6" t="str">
        <f t="shared" si="12"/>
        <v>транспорт</v>
      </c>
      <c r="I83" s="6" t="str">
        <f t="shared" si="12"/>
        <v>транспорт</v>
      </c>
      <c r="J83" s="6" t="str">
        <f t="shared" si="12"/>
        <v>транспорт</v>
      </c>
      <c r="K83" s="6" t="str">
        <f t="shared" si="12"/>
        <v>транспорт</v>
      </c>
      <c r="L83" s="6" t="str">
        <f t="shared" si="12"/>
        <v>транспорт</v>
      </c>
      <c r="M83" s="6" t="str">
        <f t="shared" si="12"/>
        <v>транспорт</v>
      </c>
      <c r="N83" s="6" t="str">
        <f t="shared" si="12"/>
        <v>транспорт</v>
      </c>
      <c r="O83" s="6" t="str">
        <f t="shared" si="12"/>
        <v>транспорт</v>
      </c>
      <c r="P83" s="6" t="str">
        <f t="shared" si="12"/>
        <v>транспорт</v>
      </c>
      <c r="Q83" s="6" t="str">
        <f t="shared" si="12"/>
        <v>транспорт</v>
      </c>
      <c r="R83" s="6" t="str">
        <f t="shared" si="12"/>
        <v>транспорт</v>
      </c>
      <c r="S83" s="6" t="str">
        <f t="shared" si="12"/>
        <v>транспорт</v>
      </c>
      <c r="T83" s="6" t="str">
        <f t="shared" si="12"/>
        <v>транспорт</v>
      </c>
      <c r="U83" s="6" t="str">
        <f t="shared" si="12"/>
        <v>транспорт</v>
      </c>
      <c r="V83" s="6" t="str">
        <f t="shared" si="12"/>
        <v>транспорт</v>
      </c>
      <c r="W83" s="6" t="str">
        <f t="shared" si="12"/>
        <v>транспорт</v>
      </c>
      <c r="X83" s="6" t="str">
        <f t="shared" si="12"/>
        <v>транспорт</v>
      </c>
      <c r="Y83" s="6" t="str">
        <f t="shared" si="12"/>
        <v>транспорт</v>
      </c>
    </row>
    <row r="84" spans="1:25" ht="39" x14ac:dyDescent="0.2">
      <c r="A84" s="8" t="s">
        <v>464</v>
      </c>
      <c r="B84" s="6" t="s">
        <v>465</v>
      </c>
      <c r="C84" s="6" t="s">
        <v>33</v>
      </c>
      <c r="D84" s="8" t="s">
        <v>866</v>
      </c>
      <c r="E84" s="36">
        <f t="shared" ref="E84:Y84" si="13">IF(E81="вилы",Aer_repl_forks,IF(E81="платформа",Aer_repl_platform,IF(E81="буксировка",Aer_repl_tow,IF(E81="кузов",Aer_repl_body,0))))</f>
        <v>0.8</v>
      </c>
      <c r="F84" s="36">
        <f t="shared" si="13"/>
        <v>0.8</v>
      </c>
      <c r="G84" s="36">
        <f t="shared" si="13"/>
        <v>0.8</v>
      </c>
      <c r="H84" s="36">
        <f t="shared" si="13"/>
        <v>0.8</v>
      </c>
      <c r="I84" s="36">
        <f t="shared" si="13"/>
        <v>0.8</v>
      </c>
      <c r="J84" s="36">
        <f t="shared" si="13"/>
        <v>0.8</v>
      </c>
      <c r="K84" s="36">
        <f t="shared" si="13"/>
        <v>0.8</v>
      </c>
      <c r="L84" s="36">
        <f t="shared" si="13"/>
        <v>0.8</v>
      </c>
      <c r="M84" s="36">
        <f t="shared" si="13"/>
        <v>0.8</v>
      </c>
      <c r="N84" s="36">
        <f t="shared" si="13"/>
        <v>0.8</v>
      </c>
      <c r="O84" s="36">
        <f t="shared" si="13"/>
        <v>0.8</v>
      </c>
      <c r="P84" s="36">
        <f t="shared" si="13"/>
        <v>0.8</v>
      </c>
      <c r="Q84" s="36">
        <f t="shared" si="13"/>
        <v>0.8</v>
      </c>
      <c r="R84" s="36">
        <f t="shared" si="13"/>
        <v>0.8</v>
      </c>
      <c r="S84" s="36">
        <f t="shared" si="13"/>
        <v>0.8</v>
      </c>
      <c r="T84" s="36">
        <f t="shared" si="13"/>
        <v>0.8</v>
      </c>
      <c r="U84" s="36">
        <f t="shared" si="13"/>
        <v>0.8</v>
      </c>
      <c r="V84" s="36">
        <f t="shared" si="13"/>
        <v>0.8</v>
      </c>
      <c r="W84" s="36">
        <f t="shared" si="13"/>
        <v>0.8</v>
      </c>
      <c r="X84" s="36">
        <f t="shared" si="13"/>
        <v>0.8</v>
      </c>
      <c r="Y84" s="36">
        <f t="shared" si="13"/>
        <v>0.8</v>
      </c>
    </row>
    <row r="85" spans="1:25" x14ac:dyDescent="0.2">
      <c r="A85" s="8" t="s">
        <v>467</v>
      </c>
      <c r="B85" s="6" t="s">
        <v>468</v>
      </c>
      <c r="C85" s="6" t="s">
        <v>469</v>
      </c>
      <c r="D85" s="8" t="s">
        <v>470</v>
      </c>
      <c r="E85" s="35">
        <f t="shared" ref="E85:Y85" si="14">INDEX(Cat_wid,MATCH(E$63,Cat_code,0))</f>
        <v>1400</v>
      </c>
      <c r="F85" s="35">
        <f t="shared" si="14"/>
        <v>1400</v>
      </c>
      <c r="G85" s="35">
        <f t="shared" si="14"/>
        <v>1400</v>
      </c>
      <c r="H85" s="35">
        <f t="shared" si="14"/>
        <v>1400</v>
      </c>
      <c r="I85" s="35">
        <f t="shared" si="14"/>
        <v>1400</v>
      </c>
      <c r="J85" s="35">
        <f t="shared" si="14"/>
        <v>1400</v>
      </c>
      <c r="K85" s="35">
        <f t="shared" si="14"/>
        <v>1400</v>
      </c>
      <c r="L85" s="35">
        <f t="shared" si="14"/>
        <v>1400</v>
      </c>
      <c r="M85" s="35">
        <f t="shared" si="14"/>
        <v>1400</v>
      </c>
      <c r="N85" s="35">
        <f t="shared" si="14"/>
        <v>1400</v>
      </c>
      <c r="O85" s="35">
        <f t="shared" si="14"/>
        <v>1400</v>
      </c>
      <c r="P85" s="35">
        <f t="shared" si="14"/>
        <v>1400</v>
      </c>
      <c r="Q85" s="35">
        <f t="shared" si="14"/>
        <v>1400</v>
      </c>
      <c r="R85" s="35">
        <f t="shared" si="14"/>
        <v>1400</v>
      </c>
      <c r="S85" s="35">
        <f t="shared" si="14"/>
        <v>1800</v>
      </c>
      <c r="T85" s="35">
        <f t="shared" si="14"/>
        <v>1800</v>
      </c>
      <c r="U85" s="35">
        <f t="shared" si="14"/>
        <v>1800</v>
      </c>
      <c r="V85" s="35">
        <f t="shared" si="14"/>
        <v>1800</v>
      </c>
      <c r="W85" s="35">
        <f t="shared" si="14"/>
        <v>1800</v>
      </c>
      <c r="X85" s="35">
        <f t="shared" si="14"/>
        <v>1800</v>
      </c>
      <c r="Y85" s="35">
        <f t="shared" si="14"/>
        <v>1800</v>
      </c>
    </row>
    <row r="86" spans="1:25" x14ac:dyDescent="0.2">
      <c r="A86" s="8" t="s">
        <v>471</v>
      </c>
      <c r="B86" s="6" t="s">
        <v>472</v>
      </c>
      <c r="C86" s="6" t="s">
        <v>370</v>
      </c>
      <c r="D86" s="8" t="s">
        <v>473</v>
      </c>
      <c r="E86" s="35">
        <f t="shared" ref="E86:Y86" si="15">INDEX(Cat_tmin,MATCH(E$63,Cat_code,0))</f>
        <v>-40</v>
      </c>
      <c r="F86" s="35">
        <f t="shared" si="15"/>
        <v>-40</v>
      </c>
      <c r="G86" s="35">
        <f t="shared" si="15"/>
        <v>-40</v>
      </c>
      <c r="H86" s="35">
        <f t="shared" si="15"/>
        <v>-40</v>
      </c>
      <c r="I86" s="35">
        <f t="shared" si="15"/>
        <v>-40</v>
      </c>
      <c r="J86" s="35">
        <f t="shared" si="15"/>
        <v>-40</v>
      </c>
      <c r="K86" s="35">
        <f t="shared" si="15"/>
        <v>-40</v>
      </c>
      <c r="L86" s="35">
        <f t="shared" si="15"/>
        <v>-40</v>
      </c>
      <c r="M86" s="35">
        <f t="shared" si="15"/>
        <v>-40</v>
      </c>
      <c r="N86" s="35">
        <f t="shared" si="15"/>
        <v>-40</v>
      </c>
      <c r="O86" s="35">
        <f t="shared" si="15"/>
        <v>-40</v>
      </c>
      <c r="P86" s="35">
        <f t="shared" si="15"/>
        <v>-40</v>
      </c>
      <c r="Q86" s="35">
        <f t="shared" si="15"/>
        <v>-40</v>
      </c>
      <c r="R86" s="35">
        <f t="shared" si="15"/>
        <v>-40</v>
      </c>
      <c r="S86" s="35">
        <f t="shared" si="15"/>
        <v>-40</v>
      </c>
      <c r="T86" s="35">
        <f t="shared" si="15"/>
        <v>-40</v>
      </c>
      <c r="U86" s="35">
        <f t="shared" si="15"/>
        <v>-40</v>
      </c>
      <c r="V86" s="35">
        <f t="shared" si="15"/>
        <v>-40</v>
      </c>
      <c r="W86" s="35">
        <f t="shared" si="15"/>
        <v>-40</v>
      </c>
      <c r="X86" s="35">
        <f t="shared" si="15"/>
        <v>-40</v>
      </c>
      <c r="Y86" s="35">
        <f t="shared" si="15"/>
        <v>-40</v>
      </c>
    </row>
    <row r="87" spans="1:25" x14ac:dyDescent="0.2">
      <c r="A87" s="8" t="s">
        <v>474</v>
      </c>
      <c r="B87" s="6" t="s">
        <v>475</v>
      </c>
      <c r="C87" s="6" t="s">
        <v>323</v>
      </c>
      <c r="D87" s="8" t="s">
        <v>476</v>
      </c>
      <c r="E87" s="35">
        <f t="shared" ref="E87:Y87" si="16">INDEX(Cat_outdoor,MATCH(E$63,Cat_code,0))</f>
        <v>1</v>
      </c>
      <c r="F87" s="35">
        <f t="shared" si="16"/>
        <v>1</v>
      </c>
      <c r="G87" s="35">
        <f t="shared" si="16"/>
        <v>1</v>
      </c>
      <c r="H87" s="35">
        <f t="shared" si="16"/>
        <v>1</v>
      </c>
      <c r="I87" s="35">
        <f t="shared" si="16"/>
        <v>1</v>
      </c>
      <c r="J87" s="35">
        <f t="shared" si="16"/>
        <v>1</v>
      </c>
      <c r="K87" s="35">
        <f t="shared" si="16"/>
        <v>1</v>
      </c>
      <c r="L87" s="35">
        <f t="shared" si="16"/>
        <v>1</v>
      </c>
      <c r="M87" s="35">
        <f t="shared" si="16"/>
        <v>1</v>
      </c>
      <c r="N87" s="35">
        <f t="shared" si="16"/>
        <v>1</v>
      </c>
      <c r="O87" s="35">
        <f t="shared" si="16"/>
        <v>1</v>
      </c>
      <c r="P87" s="35">
        <f t="shared" si="16"/>
        <v>1</v>
      </c>
      <c r="Q87" s="35">
        <f t="shared" si="16"/>
        <v>1</v>
      </c>
      <c r="R87" s="35">
        <f t="shared" si="16"/>
        <v>1</v>
      </c>
      <c r="S87" s="35">
        <f t="shared" si="16"/>
        <v>1</v>
      </c>
      <c r="T87" s="35">
        <f t="shared" si="16"/>
        <v>1</v>
      </c>
      <c r="U87" s="35">
        <f t="shared" si="16"/>
        <v>1</v>
      </c>
      <c r="V87" s="35">
        <f t="shared" si="16"/>
        <v>1</v>
      </c>
      <c r="W87" s="35">
        <f t="shared" si="16"/>
        <v>1</v>
      </c>
      <c r="X87" s="35">
        <f t="shared" si="16"/>
        <v>1</v>
      </c>
      <c r="Y87" s="35">
        <f t="shared" si="16"/>
        <v>1</v>
      </c>
    </row>
    <row r="88" spans="1:25" x14ac:dyDescent="0.2">
      <c r="A88" s="26"/>
      <c r="B88" s="27" t="s">
        <v>477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x14ac:dyDescent="0.2">
      <c r="A89" s="8" t="s">
        <v>478</v>
      </c>
      <c r="B89" s="6" t="s">
        <v>479</v>
      </c>
      <c r="C89" s="6"/>
      <c r="D89" s="8" t="s">
        <v>867</v>
      </c>
      <c r="E89" s="6" t="str">
        <f t="shared" ref="E89:Y89" si="17">IF(E83=Aer_task_class,"ОК","НЕТ")</f>
        <v>ОК</v>
      </c>
      <c r="F89" s="6" t="str">
        <f t="shared" si="17"/>
        <v>ОК</v>
      </c>
      <c r="G89" s="6" t="str">
        <f t="shared" si="17"/>
        <v>ОК</v>
      </c>
      <c r="H89" s="6" t="str">
        <f t="shared" si="17"/>
        <v>ОК</v>
      </c>
      <c r="I89" s="6" t="str">
        <f t="shared" si="17"/>
        <v>ОК</v>
      </c>
      <c r="J89" s="6" t="str">
        <f t="shared" si="17"/>
        <v>ОК</v>
      </c>
      <c r="K89" s="6" t="str">
        <f t="shared" si="17"/>
        <v>ОК</v>
      </c>
      <c r="L89" s="6" t="str">
        <f t="shared" si="17"/>
        <v>ОК</v>
      </c>
      <c r="M89" s="6" t="str">
        <f t="shared" si="17"/>
        <v>ОК</v>
      </c>
      <c r="N89" s="6" t="str">
        <f t="shared" si="17"/>
        <v>ОК</v>
      </c>
      <c r="O89" s="6" t="str">
        <f t="shared" si="17"/>
        <v>ОК</v>
      </c>
      <c r="P89" s="6" t="str">
        <f t="shared" si="17"/>
        <v>ОК</v>
      </c>
      <c r="Q89" s="6" t="str">
        <f t="shared" si="17"/>
        <v>ОК</v>
      </c>
      <c r="R89" s="6" t="str">
        <f t="shared" si="17"/>
        <v>ОК</v>
      </c>
      <c r="S89" s="6" t="str">
        <f t="shared" si="17"/>
        <v>ОК</v>
      </c>
      <c r="T89" s="6" t="str">
        <f t="shared" si="17"/>
        <v>ОК</v>
      </c>
      <c r="U89" s="6" t="str">
        <f t="shared" si="17"/>
        <v>ОК</v>
      </c>
      <c r="V89" s="6" t="str">
        <f t="shared" si="17"/>
        <v>ОК</v>
      </c>
      <c r="W89" s="6" t="str">
        <f t="shared" si="17"/>
        <v>ОК</v>
      </c>
      <c r="X89" s="6" t="str">
        <f t="shared" si="17"/>
        <v>ОК</v>
      </c>
      <c r="Y89" s="6" t="str">
        <f t="shared" si="17"/>
        <v>ОК</v>
      </c>
    </row>
    <row r="90" spans="1:25" ht="26" x14ac:dyDescent="0.2">
      <c r="A90" s="8" t="s">
        <v>481</v>
      </c>
      <c r="B90" s="6" t="s">
        <v>482</v>
      </c>
      <c r="C90" s="6"/>
      <c r="D90" s="8" t="s">
        <v>868</v>
      </c>
      <c r="E90" s="6" t="str">
        <f t="shared" ref="E90:Y90" si="18">IF(ISNUMBER(SEARCH(E81,Aer_handling_req)),"ОК","НЕТ")</f>
        <v>ОК</v>
      </c>
      <c r="F90" s="6" t="str">
        <f t="shared" si="18"/>
        <v>ОК</v>
      </c>
      <c r="G90" s="6" t="str">
        <f t="shared" si="18"/>
        <v>ОК</v>
      </c>
      <c r="H90" s="6" t="str">
        <f t="shared" si="18"/>
        <v>ОК</v>
      </c>
      <c r="I90" s="6" t="str">
        <f t="shared" si="18"/>
        <v>ОК</v>
      </c>
      <c r="J90" s="6" t="str">
        <f t="shared" si="18"/>
        <v>ОК</v>
      </c>
      <c r="K90" s="6" t="str">
        <f t="shared" si="18"/>
        <v>ОК</v>
      </c>
      <c r="L90" s="6" t="str">
        <f t="shared" si="18"/>
        <v>ОК</v>
      </c>
      <c r="M90" s="6" t="str">
        <f t="shared" si="18"/>
        <v>ОК</v>
      </c>
      <c r="N90" s="6" t="str">
        <f t="shared" si="18"/>
        <v>ОК</v>
      </c>
      <c r="O90" s="6" t="str">
        <f t="shared" si="18"/>
        <v>ОК</v>
      </c>
      <c r="P90" s="6" t="str">
        <f t="shared" si="18"/>
        <v>ОК</v>
      </c>
      <c r="Q90" s="6" t="str">
        <f t="shared" si="18"/>
        <v>ОК</v>
      </c>
      <c r="R90" s="6" t="str">
        <f t="shared" si="18"/>
        <v>ОК</v>
      </c>
      <c r="S90" s="6" t="str">
        <f t="shared" si="18"/>
        <v>ОК</v>
      </c>
      <c r="T90" s="6" t="str">
        <f t="shared" si="18"/>
        <v>ОК</v>
      </c>
      <c r="U90" s="6" t="str">
        <f t="shared" si="18"/>
        <v>ОК</v>
      </c>
      <c r="V90" s="6" t="str">
        <f t="shared" si="18"/>
        <v>ОК</v>
      </c>
      <c r="W90" s="6" t="str">
        <f t="shared" si="18"/>
        <v>ОК</v>
      </c>
      <c r="X90" s="6" t="str">
        <f t="shared" si="18"/>
        <v>ОК</v>
      </c>
      <c r="Y90" s="6" t="str">
        <f t="shared" si="18"/>
        <v>ОК</v>
      </c>
    </row>
    <row r="91" spans="1:25" x14ac:dyDescent="0.2">
      <c r="A91" s="8" t="s">
        <v>484</v>
      </c>
      <c r="B91" s="6" t="s">
        <v>485</v>
      </c>
      <c r="C91" s="6"/>
      <c r="D91" s="8" t="s">
        <v>869</v>
      </c>
      <c r="E91" s="6" t="str">
        <f t="shared" ref="E91:Y91" si="19">IF(AND(Aer_indoor_req=1,E82=0),"НЕТ","ОК")</f>
        <v>ОК</v>
      </c>
      <c r="F91" s="6" t="str">
        <f t="shared" si="19"/>
        <v>ОК</v>
      </c>
      <c r="G91" s="6" t="str">
        <f t="shared" si="19"/>
        <v>ОК</v>
      </c>
      <c r="H91" s="6" t="str">
        <f t="shared" si="19"/>
        <v>ОК</v>
      </c>
      <c r="I91" s="6" t="str">
        <f t="shared" si="19"/>
        <v>ОК</v>
      </c>
      <c r="J91" s="6" t="str">
        <f t="shared" si="19"/>
        <v>ОК</v>
      </c>
      <c r="K91" s="6" t="str">
        <f t="shared" si="19"/>
        <v>ОК</v>
      </c>
      <c r="L91" s="6" t="str">
        <f t="shared" si="19"/>
        <v>ОК</v>
      </c>
      <c r="M91" s="6" t="str">
        <f t="shared" si="19"/>
        <v>ОК</v>
      </c>
      <c r="N91" s="6" t="str">
        <f t="shared" si="19"/>
        <v>ОК</v>
      </c>
      <c r="O91" s="6" t="str">
        <f t="shared" si="19"/>
        <v>ОК</v>
      </c>
      <c r="P91" s="6" t="str">
        <f t="shared" si="19"/>
        <v>ОК</v>
      </c>
      <c r="Q91" s="6" t="str">
        <f t="shared" si="19"/>
        <v>ОК</v>
      </c>
      <c r="R91" s="6" t="str">
        <f t="shared" si="19"/>
        <v>ОК</v>
      </c>
      <c r="S91" s="6" t="str">
        <f t="shared" si="19"/>
        <v>ОК</v>
      </c>
      <c r="T91" s="6" t="str">
        <f t="shared" si="19"/>
        <v>ОК</v>
      </c>
      <c r="U91" s="6" t="str">
        <f t="shared" si="19"/>
        <v>ОК</v>
      </c>
      <c r="V91" s="6" t="str">
        <f t="shared" si="19"/>
        <v>ОК</v>
      </c>
      <c r="W91" s="6" t="str">
        <f t="shared" si="19"/>
        <v>ОК</v>
      </c>
      <c r="X91" s="6" t="str">
        <f t="shared" si="19"/>
        <v>ОК</v>
      </c>
      <c r="Y91" s="6" t="str">
        <f t="shared" si="19"/>
        <v>ОК</v>
      </c>
    </row>
    <row r="92" spans="1:25" ht="26" x14ac:dyDescent="0.2">
      <c r="A92" s="8" t="s">
        <v>487</v>
      </c>
      <c r="B92" s="6" t="s">
        <v>488</v>
      </c>
      <c r="C92" s="6"/>
      <c r="D92" s="8" t="s">
        <v>870</v>
      </c>
      <c r="E92" s="6" t="str">
        <f t="shared" ref="E92:Y92" si="20">IF(AND(Aer_divisible=0,E76&lt;Aer_unit_mass),"НЕТ","ОК")</f>
        <v>ОК</v>
      </c>
      <c r="F92" s="6" t="str">
        <f t="shared" si="20"/>
        <v>ОК</v>
      </c>
      <c r="G92" s="6" t="str">
        <f t="shared" si="20"/>
        <v>ОК</v>
      </c>
      <c r="H92" s="6" t="str">
        <f t="shared" si="20"/>
        <v>ОК</v>
      </c>
      <c r="I92" s="6" t="str">
        <f t="shared" si="20"/>
        <v>ОК</v>
      </c>
      <c r="J92" s="6" t="str">
        <f t="shared" si="20"/>
        <v>ОК</v>
      </c>
      <c r="K92" s="6" t="str">
        <f t="shared" si="20"/>
        <v>ОК</v>
      </c>
      <c r="L92" s="6" t="str">
        <f t="shared" si="20"/>
        <v>ОК</v>
      </c>
      <c r="M92" s="6" t="str">
        <f t="shared" si="20"/>
        <v>ОК</v>
      </c>
      <c r="N92" s="6" t="str">
        <f t="shared" si="20"/>
        <v>ОК</v>
      </c>
      <c r="O92" s="6" t="str">
        <f t="shared" si="20"/>
        <v>ОК</v>
      </c>
      <c r="P92" s="6" t="str">
        <f t="shared" si="20"/>
        <v>ОК</v>
      </c>
      <c r="Q92" s="6" t="str">
        <f t="shared" si="20"/>
        <v>ОК</v>
      </c>
      <c r="R92" s="6" t="str">
        <f t="shared" si="20"/>
        <v>ОК</v>
      </c>
      <c r="S92" s="6" t="str">
        <f t="shared" si="20"/>
        <v>ОК</v>
      </c>
      <c r="T92" s="6" t="str">
        <f t="shared" si="20"/>
        <v>ОК</v>
      </c>
      <c r="U92" s="6" t="str">
        <f t="shared" si="20"/>
        <v>ОК</v>
      </c>
      <c r="V92" s="6" t="str">
        <f t="shared" si="20"/>
        <v>ОК</v>
      </c>
      <c r="W92" s="6" t="str">
        <f t="shared" si="20"/>
        <v>ОК</v>
      </c>
      <c r="X92" s="6" t="str">
        <f t="shared" si="20"/>
        <v>ОК</v>
      </c>
      <c r="Y92" s="6" t="str">
        <f t="shared" si="20"/>
        <v>ОК</v>
      </c>
    </row>
    <row r="93" spans="1:25" x14ac:dyDescent="0.2">
      <c r="A93" s="8" t="s">
        <v>490</v>
      </c>
      <c r="B93" s="6" t="s">
        <v>491</v>
      </c>
      <c r="C93" s="6"/>
      <c r="D93" s="8" t="s">
        <v>871</v>
      </c>
      <c r="E93" s="6" t="str">
        <f t="shared" ref="E93:Y93" si="21">IF(E85/1000+Aer_clearance&lt;=Aer_aisle,"ОК","НЕТ")</f>
        <v>ОК</v>
      </c>
      <c r="F93" s="6" t="str">
        <f t="shared" si="21"/>
        <v>ОК</v>
      </c>
      <c r="G93" s="6" t="str">
        <f t="shared" si="21"/>
        <v>ОК</v>
      </c>
      <c r="H93" s="6" t="str">
        <f t="shared" si="21"/>
        <v>ОК</v>
      </c>
      <c r="I93" s="6" t="str">
        <f t="shared" si="21"/>
        <v>ОК</v>
      </c>
      <c r="J93" s="6" t="str">
        <f t="shared" si="21"/>
        <v>ОК</v>
      </c>
      <c r="K93" s="6" t="str">
        <f t="shared" si="21"/>
        <v>ОК</v>
      </c>
      <c r="L93" s="6" t="str">
        <f t="shared" si="21"/>
        <v>ОК</v>
      </c>
      <c r="M93" s="6" t="str">
        <f t="shared" si="21"/>
        <v>ОК</v>
      </c>
      <c r="N93" s="6" t="str">
        <f t="shared" si="21"/>
        <v>ОК</v>
      </c>
      <c r="O93" s="6" t="str">
        <f t="shared" si="21"/>
        <v>ОК</v>
      </c>
      <c r="P93" s="6" t="str">
        <f t="shared" si="21"/>
        <v>ОК</v>
      </c>
      <c r="Q93" s="6" t="str">
        <f t="shared" si="21"/>
        <v>ОК</v>
      </c>
      <c r="R93" s="6" t="str">
        <f t="shared" si="21"/>
        <v>ОК</v>
      </c>
      <c r="S93" s="6" t="str">
        <f t="shared" si="21"/>
        <v>ОК</v>
      </c>
      <c r="T93" s="6" t="str">
        <f t="shared" si="21"/>
        <v>ОК</v>
      </c>
      <c r="U93" s="6" t="str">
        <f t="shared" si="21"/>
        <v>ОК</v>
      </c>
      <c r="V93" s="6" t="str">
        <f t="shared" si="21"/>
        <v>ОК</v>
      </c>
      <c r="W93" s="6" t="str">
        <f t="shared" si="21"/>
        <v>ОК</v>
      </c>
      <c r="X93" s="6" t="str">
        <f t="shared" si="21"/>
        <v>ОК</v>
      </c>
      <c r="Y93" s="6" t="str">
        <f t="shared" si="21"/>
        <v>ОК</v>
      </c>
    </row>
    <row r="94" spans="1:25" ht="26" x14ac:dyDescent="0.2">
      <c r="A94" s="8" t="s">
        <v>493</v>
      </c>
      <c r="B94" s="6" t="s">
        <v>494</v>
      </c>
      <c r="C94" s="6"/>
      <c r="D94" s="8" t="s">
        <v>872</v>
      </c>
      <c r="E94" s="6" t="str">
        <f t="shared" ref="E94:Y94" si="22">IF(Aer_outdoor_req=1,IF(AND(E87=1,E86&lt;=Aer_temp_min),"ОК","НЕТ"),"ОК")</f>
        <v>ОК</v>
      </c>
      <c r="F94" s="6" t="str">
        <f t="shared" si="22"/>
        <v>ОК</v>
      </c>
      <c r="G94" s="6" t="str">
        <f t="shared" si="22"/>
        <v>ОК</v>
      </c>
      <c r="H94" s="6" t="str">
        <f t="shared" si="22"/>
        <v>ОК</v>
      </c>
      <c r="I94" s="6" t="str">
        <f t="shared" si="22"/>
        <v>ОК</v>
      </c>
      <c r="J94" s="6" t="str">
        <f t="shared" si="22"/>
        <v>ОК</v>
      </c>
      <c r="K94" s="6" t="str">
        <f t="shared" si="22"/>
        <v>ОК</v>
      </c>
      <c r="L94" s="6" t="str">
        <f t="shared" si="22"/>
        <v>ОК</v>
      </c>
      <c r="M94" s="6" t="str">
        <f t="shared" si="22"/>
        <v>ОК</v>
      </c>
      <c r="N94" s="6" t="str">
        <f t="shared" si="22"/>
        <v>ОК</v>
      </c>
      <c r="O94" s="6" t="str">
        <f t="shared" si="22"/>
        <v>ОК</v>
      </c>
      <c r="P94" s="6" t="str">
        <f t="shared" si="22"/>
        <v>ОК</v>
      </c>
      <c r="Q94" s="6" t="str">
        <f t="shared" si="22"/>
        <v>ОК</v>
      </c>
      <c r="R94" s="6" t="str">
        <f t="shared" si="22"/>
        <v>ОК</v>
      </c>
      <c r="S94" s="6" t="str">
        <f t="shared" si="22"/>
        <v>ОК</v>
      </c>
      <c r="T94" s="6" t="str">
        <f t="shared" si="22"/>
        <v>ОК</v>
      </c>
      <c r="U94" s="6" t="str">
        <f t="shared" si="22"/>
        <v>ОК</v>
      </c>
      <c r="V94" s="6" t="str">
        <f t="shared" si="22"/>
        <v>ОК</v>
      </c>
      <c r="W94" s="6" t="str">
        <f t="shared" si="22"/>
        <v>ОК</v>
      </c>
      <c r="X94" s="6" t="str">
        <f t="shared" si="22"/>
        <v>ОК</v>
      </c>
      <c r="Y94" s="6" t="str">
        <f t="shared" si="22"/>
        <v>ОК</v>
      </c>
    </row>
    <row r="95" spans="1:25" ht="39" x14ac:dyDescent="0.2">
      <c r="A95" s="8" t="s">
        <v>496</v>
      </c>
      <c r="B95" s="37" t="s">
        <v>497</v>
      </c>
      <c r="C95" s="6" t="s">
        <v>323</v>
      </c>
      <c r="D95" s="8" t="s">
        <v>498</v>
      </c>
      <c r="E95" s="38">
        <f t="shared" ref="E95:Y95" si="23">IF(AND(E89="ОК",E90="ОК",E91="ОК",E92="ОК",E93="ОК",E94="ОК"),1,0)</f>
        <v>1</v>
      </c>
      <c r="F95" s="38">
        <f t="shared" si="23"/>
        <v>1</v>
      </c>
      <c r="G95" s="38">
        <f t="shared" si="23"/>
        <v>1</v>
      </c>
      <c r="H95" s="38">
        <f t="shared" si="23"/>
        <v>1</v>
      </c>
      <c r="I95" s="38">
        <f t="shared" si="23"/>
        <v>1</v>
      </c>
      <c r="J95" s="38">
        <f t="shared" si="23"/>
        <v>1</v>
      </c>
      <c r="K95" s="38">
        <f t="shared" si="23"/>
        <v>1</v>
      </c>
      <c r="L95" s="38">
        <f t="shared" si="23"/>
        <v>1</v>
      </c>
      <c r="M95" s="38">
        <f t="shared" si="23"/>
        <v>1</v>
      </c>
      <c r="N95" s="38">
        <f t="shared" si="23"/>
        <v>1</v>
      </c>
      <c r="O95" s="38">
        <f t="shared" si="23"/>
        <v>1</v>
      </c>
      <c r="P95" s="38">
        <f t="shared" si="23"/>
        <v>1</v>
      </c>
      <c r="Q95" s="38">
        <f t="shared" si="23"/>
        <v>1</v>
      </c>
      <c r="R95" s="38">
        <f t="shared" si="23"/>
        <v>1</v>
      </c>
      <c r="S95" s="38">
        <f t="shared" si="23"/>
        <v>1</v>
      </c>
      <c r="T95" s="38">
        <f t="shared" si="23"/>
        <v>1</v>
      </c>
      <c r="U95" s="38">
        <f t="shared" si="23"/>
        <v>1</v>
      </c>
      <c r="V95" s="38">
        <f t="shared" si="23"/>
        <v>1</v>
      </c>
      <c r="W95" s="38">
        <f t="shared" si="23"/>
        <v>1</v>
      </c>
      <c r="X95" s="38">
        <f t="shared" si="23"/>
        <v>1</v>
      </c>
      <c r="Y95" s="38">
        <f t="shared" si="23"/>
        <v>1</v>
      </c>
    </row>
    <row r="96" spans="1:25" ht="143" x14ac:dyDescent="0.2">
      <c r="A96" s="8" t="s">
        <v>499</v>
      </c>
      <c r="B96" s="6" t="s">
        <v>500</v>
      </c>
      <c r="C96" s="6"/>
      <c r="D96" s="8" t="s">
        <v>501</v>
      </c>
      <c r="E96" s="6" t="str">
        <f t="shared" ref="E96:Y96" si="24">IF(E95=1,"Применимо: все ключевые ограничения выполнены","Не применимо: "&amp;IF(E89="НЕТ","класс задачи; ","")&amp;IF(E90="НЕТ","способ обработки груза; ","")&amp;IF(E91="НЕТ","не допущен в помещения; ","")&amp;IF(E92="НЕТ","грузоподъёмность ниже массы единицы груза; ","")&amp;IF(E93="НЕТ","габариты не проходят по ширине прохода; ","")&amp;IF(E94="НЕТ","не сертифицирован для условий эксплуатации; ",""))</f>
        <v>Применимо: все ключевые ограничения выполнены</v>
      </c>
      <c r="F96" s="6" t="str">
        <f t="shared" si="24"/>
        <v>Применимо: все ключевые ограничения выполнены</v>
      </c>
      <c r="G96" s="6" t="str">
        <f t="shared" si="24"/>
        <v>Применимо: все ключевые ограничения выполнены</v>
      </c>
      <c r="H96" s="6" t="str">
        <f t="shared" si="24"/>
        <v>Применимо: все ключевые ограничения выполнены</v>
      </c>
      <c r="I96" s="6" t="str">
        <f t="shared" si="24"/>
        <v>Применимо: все ключевые ограничения выполнены</v>
      </c>
      <c r="J96" s="6" t="str">
        <f t="shared" si="24"/>
        <v>Применимо: все ключевые ограничения выполнены</v>
      </c>
      <c r="K96" s="6" t="str">
        <f t="shared" si="24"/>
        <v>Применимо: все ключевые ограничения выполнены</v>
      </c>
      <c r="L96" s="6" t="str">
        <f t="shared" si="24"/>
        <v>Применимо: все ключевые ограничения выполнены</v>
      </c>
      <c r="M96" s="6" t="str">
        <f t="shared" si="24"/>
        <v>Применимо: все ключевые ограничения выполнены</v>
      </c>
      <c r="N96" s="6" t="str">
        <f t="shared" si="24"/>
        <v>Применимо: все ключевые ограничения выполнены</v>
      </c>
      <c r="O96" s="6" t="str">
        <f t="shared" si="24"/>
        <v>Применимо: все ключевые ограничения выполнены</v>
      </c>
      <c r="P96" s="6" t="str">
        <f t="shared" si="24"/>
        <v>Применимо: все ключевые ограничения выполнены</v>
      </c>
      <c r="Q96" s="6" t="str">
        <f t="shared" si="24"/>
        <v>Применимо: все ключевые ограничения выполнены</v>
      </c>
      <c r="R96" s="6" t="str">
        <f t="shared" si="24"/>
        <v>Применимо: все ключевые ограничения выполнены</v>
      </c>
      <c r="S96" s="6" t="str">
        <f t="shared" si="24"/>
        <v>Применимо: все ключевые ограничения выполнены</v>
      </c>
      <c r="T96" s="6" t="str">
        <f t="shared" si="24"/>
        <v>Применимо: все ключевые ограничения выполнены</v>
      </c>
      <c r="U96" s="6" t="str">
        <f t="shared" si="24"/>
        <v>Применимо: все ключевые ограничения выполнены</v>
      </c>
      <c r="V96" s="6" t="str">
        <f t="shared" si="24"/>
        <v>Применимо: все ключевые ограничения выполнены</v>
      </c>
      <c r="W96" s="6" t="str">
        <f t="shared" si="24"/>
        <v>Применимо: все ключевые ограничения выполнены</v>
      </c>
      <c r="X96" s="6" t="str">
        <f t="shared" si="24"/>
        <v>Применимо: все ключевые ограничения выполнены</v>
      </c>
      <c r="Y96" s="6" t="str">
        <f t="shared" si="24"/>
        <v>Применимо: все ключевые ограничения выполнены</v>
      </c>
    </row>
    <row r="97" spans="1:25" x14ac:dyDescent="0.2">
      <c r="A97" s="26"/>
      <c r="B97" s="27" t="s">
        <v>502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x14ac:dyDescent="0.2">
      <c r="A98" s="8" t="s">
        <v>503</v>
      </c>
      <c r="B98" s="6" t="s">
        <v>504</v>
      </c>
      <c r="C98" s="6" t="s">
        <v>308</v>
      </c>
      <c r="D98" s="8" t="s">
        <v>873</v>
      </c>
      <c r="E98" s="39">
        <f t="shared" ref="E98:Y98" si="25">Aer_ops_day*E$66</f>
        <v>560</v>
      </c>
      <c r="F98" s="39">
        <f t="shared" si="25"/>
        <v>560</v>
      </c>
      <c r="G98" s="39">
        <f t="shared" si="25"/>
        <v>560</v>
      </c>
      <c r="H98" s="39">
        <f t="shared" si="25"/>
        <v>448</v>
      </c>
      <c r="I98" s="39">
        <f t="shared" si="25"/>
        <v>672</v>
      </c>
      <c r="J98" s="39">
        <f t="shared" si="25"/>
        <v>560</v>
      </c>
      <c r="K98" s="39">
        <f t="shared" si="25"/>
        <v>560</v>
      </c>
      <c r="L98" s="39">
        <f t="shared" si="25"/>
        <v>560</v>
      </c>
      <c r="M98" s="39">
        <f t="shared" si="25"/>
        <v>560</v>
      </c>
      <c r="N98" s="39">
        <f t="shared" si="25"/>
        <v>560</v>
      </c>
      <c r="O98" s="39">
        <f t="shared" si="25"/>
        <v>448</v>
      </c>
      <c r="P98" s="39">
        <f t="shared" si="25"/>
        <v>672</v>
      </c>
      <c r="Q98" s="39">
        <f t="shared" si="25"/>
        <v>560</v>
      </c>
      <c r="R98" s="39">
        <f t="shared" si="25"/>
        <v>560</v>
      </c>
      <c r="S98" s="39">
        <f t="shared" si="25"/>
        <v>560</v>
      </c>
      <c r="T98" s="39">
        <f t="shared" si="25"/>
        <v>560</v>
      </c>
      <c r="U98" s="39">
        <f t="shared" si="25"/>
        <v>560</v>
      </c>
      <c r="V98" s="39">
        <f t="shared" si="25"/>
        <v>448</v>
      </c>
      <c r="W98" s="39">
        <f t="shared" si="25"/>
        <v>672</v>
      </c>
      <c r="X98" s="39">
        <f t="shared" si="25"/>
        <v>560</v>
      </c>
      <c r="Y98" s="39">
        <f t="shared" si="25"/>
        <v>560</v>
      </c>
    </row>
    <row r="99" spans="1:25" x14ac:dyDescent="0.2">
      <c r="A99" s="8" t="s">
        <v>506</v>
      </c>
      <c r="B99" s="6" t="s">
        <v>507</v>
      </c>
      <c r="C99" s="6" t="s">
        <v>308</v>
      </c>
      <c r="D99" s="8" t="s">
        <v>874</v>
      </c>
      <c r="E99" s="39">
        <f t="shared" ref="E99:Y99" si="26">E98*Aer_auto_share</f>
        <v>504</v>
      </c>
      <c r="F99" s="39">
        <f t="shared" si="26"/>
        <v>504</v>
      </c>
      <c r="G99" s="39">
        <f t="shared" si="26"/>
        <v>504</v>
      </c>
      <c r="H99" s="39">
        <f t="shared" si="26"/>
        <v>403.2</v>
      </c>
      <c r="I99" s="39">
        <f t="shared" si="26"/>
        <v>604.80000000000007</v>
      </c>
      <c r="J99" s="39">
        <f t="shared" si="26"/>
        <v>504</v>
      </c>
      <c r="K99" s="39">
        <f t="shared" si="26"/>
        <v>504</v>
      </c>
      <c r="L99" s="39">
        <f t="shared" si="26"/>
        <v>504</v>
      </c>
      <c r="M99" s="39">
        <f t="shared" si="26"/>
        <v>504</v>
      </c>
      <c r="N99" s="39">
        <f t="shared" si="26"/>
        <v>504</v>
      </c>
      <c r="O99" s="39">
        <f t="shared" si="26"/>
        <v>403.2</v>
      </c>
      <c r="P99" s="39">
        <f t="shared" si="26"/>
        <v>604.80000000000007</v>
      </c>
      <c r="Q99" s="39">
        <f t="shared" si="26"/>
        <v>504</v>
      </c>
      <c r="R99" s="39">
        <f t="shared" si="26"/>
        <v>504</v>
      </c>
      <c r="S99" s="39">
        <f t="shared" si="26"/>
        <v>504</v>
      </c>
      <c r="T99" s="39">
        <f t="shared" si="26"/>
        <v>504</v>
      </c>
      <c r="U99" s="39">
        <f t="shared" si="26"/>
        <v>504</v>
      </c>
      <c r="V99" s="39">
        <f t="shared" si="26"/>
        <v>403.2</v>
      </c>
      <c r="W99" s="39">
        <f t="shared" si="26"/>
        <v>604.80000000000007</v>
      </c>
      <c r="X99" s="39">
        <f t="shared" si="26"/>
        <v>504</v>
      </c>
      <c r="Y99" s="39">
        <f t="shared" si="26"/>
        <v>504</v>
      </c>
    </row>
    <row r="100" spans="1:25" ht="28" x14ac:dyDescent="0.2">
      <c r="A100" s="8" t="s">
        <v>509</v>
      </c>
      <c r="B100" s="6" t="s">
        <v>510</v>
      </c>
      <c r="C100" s="6" t="s">
        <v>511</v>
      </c>
      <c r="D100" s="8" t="s">
        <v>875</v>
      </c>
      <c r="E100" s="35">
        <f t="shared" ref="E100:Y100" si="27">IF(Aer_divisible=1,ROUNDUP(Aer_unit_mass/MAX(E76,1),0),1)</f>
        <v>1</v>
      </c>
      <c r="F100" s="35">
        <f t="shared" si="27"/>
        <v>1</v>
      </c>
      <c r="G100" s="35">
        <f t="shared" si="27"/>
        <v>1</v>
      </c>
      <c r="H100" s="35">
        <f t="shared" si="27"/>
        <v>1</v>
      </c>
      <c r="I100" s="35">
        <f t="shared" si="27"/>
        <v>1</v>
      </c>
      <c r="J100" s="35">
        <f t="shared" si="27"/>
        <v>1</v>
      </c>
      <c r="K100" s="35">
        <f t="shared" si="27"/>
        <v>1</v>
      </c>
      <c r="L100" s="35">
        <f t="shared" si="27"/>
        <v>1</v>
      </c>
      <c r="M100" s="35">
        <f t="shared" si="27"/>
        <v>1</v>
      </c>
      <c r="N100" s="35">
        <f t="shared" si="27"/>
        <v>1</v>
      </c>
      <c r="O100" s="35">
        <f t="shared" si="27"/>
        <v>1</v>
      </c>
      <c r="P100" s="35">
        <f t="shared" si="27"/>
        <v>1</v>
      </c>
      <c r="Q100" s="35">
        <f t="shared" si="27"/>
        <v>1</v>
      </c>
      <c r="R100" s="35">
        <f t="shared" si="27"/>
        <v>1</v>
      </c>
      <c r="S100" s="35">
        <f t="shared" si="27"/>
        <v>2</v>
      </c>
      <c r="T100" s="35">
        <f t="shared" si="27"/>
        <v>2</v>
      </c>
      <c r="U100" s="35">
        <f t="shared" si="27"/>
        <v>2</v>
      </c>
      <c r="V100" s="35">
        <f t="shared" si="27"/>
        <v>2</v>
      </c>
      <c r="W100" s="35">
        <f t="shared" si="27"/>
        <v>2</v>
      </c>
      <c r="X100" s="35">
        <f t="shared" si="27"/>
        <v>2</v>
      </c>
      <c r="Y100" s="35">
        <f t="shared" si="27"/>
        <v>2</v>
      </c>
    </row>
    <row r="101" spans="1:25" x14ac:dyDescent="0.2">
      <c r="A101" s="8" t="s">
        <v>513</v>
      </c>
      <c r="B101" s="6" t="s">
        <v>514</v>
      </c>
      <c r="C101" s="6" t="s">
        <v>273</v>
      </c>
      <c r="D101" s="8" t="s">
        <v>794</v>
      </c>
      <c r="E101" s="39">
        <f t="shared" ref="E101:Y101" si="28">Aer_hours_day</f>
        <v>24</v>
      </c>
      <c r="F101" s="39">
        <f t="shared" si="28"/>
        <v>24</v>
      </c>
      <c r="G101" s="39">
        <f t="shared" si="28"/>
        <v>24</v>
      </c>
      <c r="H101" s="39">
        <f t="shared" si="28"/>
        <v>24</v>
      </c>
      <c r="I101" s="39">
        <f t="shared" si="28"/>
        <v>24</v>
      </c>
      <c r="J101" s="39">
        <f t="shared" si="28"/>
        <v>24</v>
      </c>
      <c r="K101" s="39">
        <f t="shared" si="28"/>
        <v>24</v>
      </c>
      <c r="L101" s="39">
        <f t="shared" si="28"/>
        <v>24</v>
      </c>
      <c r="M101" s="39">
        <f t="shared" si="28"/>
        <v>24</v>
      </c>
      <c r="N101" s="39">
        <f t="shared" si="28"/>
        <v>24</v>
      </c>
      <c r="O101" s="39">
        <f t="shared" si="28"/>
        <v>24</v>
      </c>
      <c r="P101" s="39">
        <f t="shared" si="28"/>
        <v>24</v>
      </c>
      <c r="Q101" s="39">
        <f t="shared" si="28"/>
        <v>24</v>
      </c>
      <c r="R101" s="39">
        <f t="shared" si="28"/>
        <v>24</v>
      </c>
      <c r="S101" s="39">
        <f t="shared" si="28"/>
        <v>24</v>
      </c>
      <c r="T101" s="39">
        <f t="shared" si="28"/>
        <v>24</v>
      </c>
      <c r="U101" s="39">
        <f t="shared" si="28"/>
        <v>24</v>
      </c>
      <c r="V101" s="39">
        <f t="shared" si="28"/>
        <v>24</v>
      </c>
      <c r="W101" s="39">
        <f t="shared" si="28"/>
        <v>24</v>
      </c>
      <c r="X101" s="39">
        <f t="shared" si="28"/>
        <v>24</v>
      </c>
      <c r="Y101" s="39">
        <f t="shared" si="28"/>
        <v>24</v>
      </c>
    </row>
    <row r="102" spans="1:25" x14ac:dyDescent="0.2">
      <c r="A102" s="8" t="s">
        <v>515</v>
      </c>
      <c r="B102" s="6" t="s">
        <v>516</v>
      </c>
      <c r="C102" s="6" t="s">
        <v>317</v>
      </c>
      <c r="D102" s="8" t="s">
        <v>517</v>
      </c>
      <c r="E102" s="36">
        <f t="shared" ref="E102:Y102" si="29">E99/E101</f>
        <v>21</v>
      </c>
      <c r="F102" s="36">
        <f t="shared" si="29"/>
        <v>21</v>
      </c>
      <c r="G102" s="36">
        <f t="shared" si="29"/>
        <v>21</v>
      </c>
      <c r="H102" s="36">
        <f t="shared" si="29"/>
        <v>16.8</v>
      </c>
      <c r="I102" s="36">
        <f t="shared" si="29"/>
        <v>25.200000000000003</v>
      </c>
      <c r="J102" s="36">
        <f t="shared" si="29"/>
        <v>21</v>
      </c>
      <c r="K102" s="36">
        <f t="shared" si="29"/>
        <v>21</v>
      </c>
      <c r="L102" s="36">
        <f t="shared" si="29"/>
        <v>21</v>
      </c>
      <c r="M102" s="36">
        <f t="shared" si="29"/>
        <v>21</v>
      </c>
      <c r="N102" s="36">
        <f t="shared" si="29"/>
        <v>21</v>
      </c>
      <c r="O102" s="36">
        <f t="shared" si="29"/>
        <v>16.8</v>
      </c>
      <c r="P102" s="36">
        <f t="shared" si="29"/>
        <v>25.200000000000003</v>
      </c>
      <c r="Q102" s="36">
        <f t="shared" si="29"/>
        <v>21</v>
      </c>
      <c r="R102" s="36">
        <f t="shared" si="29"/>
        <v>21</v>
      </c>
      <c r="S102" s="36">
        <f t="shared" si="29"/>
        <v>21</v>
      </c>
      <c r="T102" s="36">
        <f t="shared" si="29"/>
        <v>21</v>
      </c>
      <c r="U102" s="36">
        <f t="shared" si="29"/>
        <v>21</v>
      </c>
      <c r="V102" s="36">
        <f t="shared" si="29"/>
        <v>16.8</v>
      </c>
      <c r="W102" s="36">
        <f t="shared" si="29"/>
        <v>25.200000000000003</v>
      </c>
      <c r="X102" s="36">
        <f t="shared" si="29"/>
        <v>21</v>
      </c>
      <c r="Y102" s="36">
        <f t="shared" si="29"/>
        <v>21</v>
      </c>
    </row>
    <row r="103" spans="1:25" x14ac:dyDescent="0.2">
      <c r="A103" s="8" t="s">
        <v>518</v>
      </c>
      <c r="B103" s="6" t="s">
        <v>519</v>
      </c>
      <c r="C103" s="6" t="s">
        <v>317</v>
      </c>
      <c r="D103" s="8" t="s">
        <v>876</v>
      </c>
      <c r="E103" s="36">
        <f t="shared" ref="E103:Y103" si="30">Aer_peak_ops_h*E$66*Aer_auto_share</f>
        <v>57.6</v>
      </c>
      <c r="F103" s="36">
        <f t="shared" si="30"/>
        <v>57.6</v>
      </c>
      <c r="G103" s="36">
        <f t="shared" si="30"/>
        <v>57.6</v>
      </c>
      <c r="H103" s="36">
        <f t="shared" si="30"/>
        <v>46.080000000000005</v>
      </c>
      <c r="I103" s="36">
        <f t="shared" si="30"/>
        <v>69.12</v>
      </c>
      <c r="J103" s="36">
        <f t="shared" si="30"/>
        <v>57.6</v>
      </c>
      <c r="K103" s="36">
        <f t="shared" si="30"/>
        <v>57.6</v>
      </c>
      <c r="L103" s="36">
        <f t="shared" si="30"/>
        <v>57.6</v>
      </c>
      <c r="M103" s="36">
        <f t="shared" si="30"/>
        <v>57.6</v>
      </c>
      <c r="N103" s="36">
        <f t="shared" si="30"/>
        <v>57.6</v>
      </c>
      <c r="O103" s="36">
        <f t="shared" si="30"/>
        <v>46.080000000000005</v>
      </c>
      <c r="P103" s="36">
        <f t="shared" si="30"/>
        <v>69.12</v>
      </c>
      <c r="Q103" s="36">
        <f t="shared" si="30"/>
        <v>57.6</v>
      </c>
      <c r="R103" s="36">
        <f t="shared" si="30"/>
        <v>57.6</v>
      </c>
      <c r="S103" s="36">
        <f t="shared" si="30"/>
        <v>57.6</v>
      </c>
      <c r="T103" s="36">
        <f t="shared" si="30"/>
        <v>57.6</v>
      </c>
      <c r="U103" s="36">
        <f t="shared" si="30"/>
        <v>57.6</v>
      </c>
      <c r="V103" s="36">
        <f t="shared" si="30"/>
        <v>46.080000000000005</v>
      </c>
      <c r="W103" s="36">
        <f t="shared" si="30"/>
        <v>69.12</v>
      </c>
      <c r="X103" s="36">
        <f t="shared" si="30"/>
        <v>57.6</v>
      </c>
      <c r="Y103" s="36">
        <f t="shared" si="30"/>
        <v>57.6</v>
      </c>
    </row>
    <row r="104" spans="1:25" x14ac:dyDescent="0.2">
      <c r="A104" s="8" t="s">
        <v>521</v>
      </c>
      <c r="B104" s="6" t="s">
        <v>522</v>
      </c>
      <c r="C104" s="6" t="s">
        <v>523</v>
      </c>
      <c r="D104" s="8" t="s">
        <v>524</v>
      </c>
      <c r="E104" s="36">
        <f t="shared" ref="E104:Y104" si="31">E103*E100</f>
        <v>57.6</v>
      </c>
      <c r="F104" s="36">
        <f t="shared" si="31"/>
        <v>57.6</v>
      </c>
      <c r="G104" s="36">
        <f t="shared" si="31"/>
        <v>57.6</v>
      </c>
      <c r="H104" s="36">
        <f t="shared" si="31"/>
        <v>46.080000000000005</v>
      </c>
      <c r="I104" s="36">
        <f t="shared" si="31"/>
        <v>69.12</v>
      </c>
      <c r="J104" s="36">
        <f t="shared" si="31"/>
        <v>57.6</v>
      </c>
      <c r="K104" s="36">
        <f t="shared" si="31"/>
        <v>57.6</v>
      </c>
      <c r="L104" s="36">
        <f t="shared" si="31"/>
        <v>57.6</v>
      </c>
      <c r="M104" s="36">
        <f t="shared" si="31"/>
        <v>57.6</v>
      </c>
      <c r="N104" s="36">
        <f t="shared" si="31"/>
        <v>57.6</v>
      </c>
      <c r="O104" s="36">
        <f t="shared" si="31"/>
        <v>46.080000000000005</v>
      </c>
      <c r="P104" s="36">
        <f t="shared" si="31"/>
        <v>69.12</v>
      </c>
      <c r="Q104" s="36">
        <f t="shared" si="31"/>
        <v>57.6</v>
      </c>
      <c r="R104" s="36">
        <f t="shared" si="31"/>
        <v>57.6</v>
      </c>
      <c r="S104" s="36">
        <f t="shared" si="31"/>
        <v>115.2</v>
      </c>
      <c r="T104" s="36">
        <f t="shared" si="31"/>
        <v>115.2</v>
      </c>
      <c r="U104" s="36">
        <f t="shared" si="31"/>
        <v>115.2</v>
      </c>
      <c r="V104" s="36">
        <f t="shared" si="31"/>
        <v>92.160000000000011</v>
      </c>
      <c r="W104" s="36">
        <f t="shared" si="31"/>
        <v>138.24</v>
      </c>
      <c r="X104" s="36">
        <f t="shared" si="31"/>
        <v>115.2</v>
      </c>
      <c r="Y104" s="36">
        <f t="shared" si="31"/>
        <v>115.2</v>
      </c>
    </row>
    <row r="105" spans="1:25" x14ac:dyDescent="0.2">
      <c r="A105" s="26"/>
      <c r="B105" s="27" t="s">
        <v>525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x14ac:dyDescent="0.2">
      <c r="A106" s="8" t="s">
        <v>526</v>
      </c>
      <c r="B106" s="6" t="s">
        <v>527</v>
      </c>
      <c r="C106" s="6" t="s">
        <v>264</v>
      </c>
      <c r="D106" s="8" t="s">
        <v>809</v>
      </c>
      <c r="E106" s="35">
        <f t="shared" ref="E106:Y106" si="32">Aer_L</f>
        <v>632.45553203367592</v>
      </c>
      <c r="F106" s="35">
        <f t="shared" si="32"/>
        <v>632.45553203367592</v>
      </c>
      <c r="G106" s="35">
        <f t="shared" si="32"/>
        <v>632.45553203367592</v>
      </c>
      <c r="H106" s="35">
        <f t="shared" si="32"/>
        <v>632.45553203367592</v>
      </c>
      <c r="I106" s="35">
        <f t="shared" si="32"/>
        <v>632.45553203367592</v>
      </c>
      <c r="J106" s="35">
        <f t="shared" si="32"/>
        <v>632.45553203367592</v>
      </c>
      <c r="K106" s="35">
        <f t="shared" si="32"/>
        <v>632.45553203367592</v>
      </c>
      <c r="L106" s="35">
        <f t="shared" si="32"/>
        <v>632.45553203367592</v>
      </c>
      <c r="M106" s="35">
        <f t="shared" si="32"/>
        <v>632.45553203367592</v>
      </c>
      <c r="N106" s="35">
        <f t="shared" si="32"/>
        <v>632.45553203367592</v>
      </c>
      <c r="O106" s="35">
        <f t="shared" si="32"/>
        <v>632.45553203367592</v>
      </c>
      <c r="P106" s="35">
        <f t="shared" si="32"/>
        <v>632.45553203367592</v>
      </c>
      <c r="Q106" s="35">
        <f t="shared" si="32"/>
        <v>632.45553203367592</v>
      </c>
      <c r="R106" s="35">
        <f t="shared" si="32"/>
        <v>632.45553203367592</v>
      </c>
      <c r="S106" s="35">
        <f t="shared" si="32"/>
        <v>632.45553203367592</v>
      </c>
      <c r="T106" s="35">
        <f t="shared" si="32"/>
        <v>632.45553203367592</v>
      </c>
      <c r="U106" s="35">
        <f t="shared" si="32"/>
        <v>632.45553203367592</v>
      </c>
      <c r="V106" s="35">
        <f t="shared" si="32"/>
        <v>632.45553203367592</v>
      </c>
      <c r="W106" s="35">
        <f t="shared" si="32"/>
        <v>632.45553203367592</v>
      </c>
      <c r="X106" s="35">
        <f t="shared" si="32"/>
        <v>632.45553203367592</v>
      </c>
      <c r="Y106" s="35">
        <f t="shared" si="32"/>
        <v>632.45553203367592</v>
      </c>
    </row>
    <row r="107" spans="1:25" ht="28" x14ac:dyDescent="0.2">
      <c r="A107" s="8" t="s">
        <v>528</v>
      </c>
      <c r="B107" s="6" t="s">
        <v>529</v>
      </c>
      <c r="C107" s="6" t="s">
        <v>330</v>
      </c>
      <c r="D107" s="8" t="s">
        <v>877</v>
      </c>
      <c r="E107" s="36">
        <f t="shared" ref="E107:Y107" si="33">MIN(E77,Aer_speed_cap)*N_kv</f>
        <v>4.17</v>
      </c>
      <c r="F107" s="36">
        <f t="shared" si="33"/>
        <v>4.17</v>
      </c>
      <c r="G107" s="36">
        <f t="shared" si="33"/>
        <v>4.17</v>
      </c>
      <c r="H107" s="36">
        <f t="shared" si="33"/>
        <v>4.17</v>
      </c>
      <c r="I107" s="36">
        <f t="shared" si="33"/>
        <v>4.17</v>
      </c>
      <c r="J107" s="36">
        <f t="shared" si="33"/>
        <v>4.17</v>
      </c>
      <c r="K107" s="36">
        <f t="shared" si="33"/>
        <v>4.17</v>
      </c>
      <c r="L107" s="36">
        <f t="shared" si="33"/>
        <v>4.17</v>
      </c>
      <c r="M107" s="36">
        <f t="shared" si="33"/>
        <v>4.17</v>
      </c>
      <c r="N107" s="36">
        <f t="shared" si="33"/>
        <v>4.17</v>
      </c>
      <c r="O107" s="36">
        <f t="shared" si="33"/>
        <v>4.17</v>
      </c>
      <c r="P107" s="36">
        <f t="shared" si="33"/>
        <v>4.17</v>
      </c>
      <c r="Q107" s="36">
        <f t="shared" si="33"/>
        <v>4.17</v>
      </c>
      <c r="R107" s="36">
        <f t="shared" si="33"/>
        <v>4.17</v>
      </c>
      <c r="S107" s="36">
        <f t="shared" si="33"/>
        <v>4.17</v>
      </c>
      <c r="T107" s="36">
        <f t="shared" si="33"/>
        <v>4.17</v>
      </c>
      <c r="U107" s="36">
        <f t="shared" si="33"/>
        <v>4.17</v>
      </c>
      <c r="V107" s="36">
        <f t="shared" si="33"/>
        <v>4.17</v>
      </c>
      <c r="W107" s="36">
        <f t="shared" si="33"/>
        <v>4.17</v>
      </c>
      <c r="X107" s="36">
        <f t="shared" si="33"/>
        <v>4.17</v>
      </c>
      <c r="Y107" s="36">
        <f t="shared" si="33"/>
        <v>4.17</v>
      </c>
    </row>
    <row r="108" spans="1:25" x14ac:dyDescent="0.2">
      <c r="A108" s="8" t="s">
        <v>531</v>
      </c>
      <c r="B108" s="6" t="s">
        <v>532</v>
      </c>
      <c r="C108" s="6" t="s">
        <v>337</v>
      </c>
      <c r="D108" s="8" t="s">
        <v>533</v>
      </c>
      <c r="E108" s="35">
        <f t="shared" ref="E108:Y108" si="34">2*E106/E107</f>
        <v>303.33598658689493</v>
      </c>
      <c r="F108" s="35">
        <f t="shared" si="34"/>
        <v>303.33598658689493</v>
      </c>
      <c r="G108" s="35">
        <f t="shared" si="34"/>
        <v>303.33598658689493</v>
      </c>
      <c r="H108" s="35">
        <f t="shared" si="34"/>
        <v>303.33598658689493</v>
      </c>
      <c r="I108" s="35">
        <f t="shared" si="34"/>
        <v>303.33598658689493</v>
      </c>
      <c r="J108" s="35">
        <f t="shared" si="34"/>
        <v>303.33598658689493</v>
      </c>
      <c r="K108" s="35">
        <f t="shared" si="34"/>
        <v>303.33598658689493</v>
      </c>
      <c r="L108" s="35">
        <f t="shared" si="34"/>
        <v>303.33598658689493</v>
      </c>
      <c r="M108" s="35">
        <f t="shared" si="34"/>
        <v>303.33598658689493</v>
      </c>
      <c r="N108" s="35">
        <f t="shared" si="34"/>
        <v>303.33598658689493</v>
      </c>
      <c r="O108" s="35">
        <f t="shared" si="34"/>
        <v>303.33598658689493</v>
      </c>
      <c r="P108" s="35">
        <f t="shared" si="34"/>
        <v>303.33598658689493</v>
      </c>
      <c r="Q108" s="35">
        <f t="shared" si="34"/>
        <v>303.33598658689493</v>
      </c>
      <c r="R108" s="35">
        <f t="shared" si="34"/>
        <v>303.33598658689493</v>
      </c>
      <c r="S108" s="35">
        <f t="shared" si="34"/>
        <v>303.33598658689493</v>
      </c>
      <c r="T108" s="35">
        <f t="shared" si="34"/>
        <v>303.33598658689493</v>
      </c>
      <c r="U108" s="35">
        <f t="shared" si="34"/>
        <v>303.33598658689493</v>
      </c>
      <c r="V108" s="35">
        <f t="shared" si="34"/>
        <v>303.33598658689493</v>
      </c>
      <c r="W108" s="35">
        <f t="shared" si="34"/>
        <v>303.33598658689493</v>
      </c>
      <c r="X108" s="35">
        <f t="shared" si="34"/>
        <v>303.33598658689493</v>
      </c>
      <c r="Y108" s="35">
        <f t="shared" si="34"/>
        <v>303.33598658689493</v>
      </c>
    </row>
    <row r="109" spans="1:25" x14ac:dyDescent="0.2">
      <c r="A109" s="8" t="s">
        <v>534</v>
      </c>
      <c r="B109" s="6" t="s">
        <v>535</v>
      </c>
      <c r="C109" s="6" t="s">
        <v>337</v>
      </c>
      <c r="D109" s="8" t="s">
        <v>878</v>
      </c>
      <c r="E109" s="35">
        <f t="shared" ref="E109:Y109" si="35">Aer_lift_share*2*Aer_lift_time</f>
        <v>0</v>
      </c>
      <c r="F109" s="35">
        <f t="shared" si="35"/>
        <v>0</v>
      </c>
      <c r="G109" s="35">
        <f t="shared" si="35"/>
        <v>0</v>
      </c>
      <c r="H109" s="35">
        <f t="shared" si="35"/>
        <v>0</v>
      </c>
      <c r="I109" s="35">
        <f t="shared" si="35"/>
        <v>0</v>
      </c>
      <c r="J109" s="35">
        <f t="shared" si="35"/>
        <v>0</v>
      </c>
      <c r="K109" s="35">
        <f t="shared" si="35"/>
        <v>0</v>
      </c>
      <c r="L109" s="35">
        <f t="shared" si="35"/>
        <v>0</v>
      </c>
      <c r="M109" s="35">
        <f t="shared" si="35"/>
        <v>0</v>
      </c>
      <c r="N109" s="35">
        <f t="shared" si="35"/>
        <v>0</v>
      </c>
      <c r="O109" s="35">
        <f t="shared" si="35"/>
        <v>0</v>
      </c>
      <c r="P109" s="35">
        <f t="shared" si="35"/>
        <v>0</v>
      </c>
      <c r="Q109" s="35">
        <f t="shared" si="35"/>
        <v>0</v>
      </c>
      <c r="R109" s="35">
        <f t="shared" si="35"/>
        <v>0</v>
      </c>
      <c r="S109" s="35">
        <f t="shared" si="35"/>
        <v>0</v>
      </c>
      <c r="T109" s="35">
        <f t="shared" si="35"/>
        <v>0</v>
      </c>
      <c r="U109" s="35">
        <f t="shared" si="35"/>
        <v>0</v>
      </c>
      <c r="V109" s="35">
        <f t="shared" si="35"/>
        <v>0</v>
      </c>
      <c r="W109" s="35">
        <f t="shared" si="35"/>
        <v>0</v>
      </c>
      <c r="X109" s="35">
        <f t="shared" si="35"/>
        <v>0</v>
      </c>
      <c r="Y109" s="35">
        <f t="shared" si="35"/>
        <v>0</v>
      </c>
    </row>
    <row r="110" spans="1:25" x14ac:dyDescent="0.2">
      <c r="A110" s="8" t="s">
        <v>537</v>
      </c>
      <c r="B110" s="6" t="s">
        <v>538</v>
      </c>
      <c r="C110" s="6" t="s">
        <v>337</v>
      </c>
      <c r="D110" s="8" t="s">
        <v>539</v>
      </c>
      <c r="E110" s="35">
        <f t="shared" ref="E110:Y110" si="36">E108+E78+E79+E109</f>
        <v>663.33598658689493</v>
      </c>
      <c r="F110" s="35">
        <f t="shared" si="36"/>
        <v>663.33598658689493</v>
      </c>
      <c r="G110" s="35">
        <f t="shared" si="36"/>
        <v>663.33598658689493</v>
      </c>
      <c r="H110" s="35">
        <f t="shared" si="36"/>
        <v>663.33598658689493</v>
      </c>
      <c r="I110" s="35">
        <f t="shared" si="36"/>
        <v>663.33598658689493</v>
      </c>
      <c r="J110" s="35">
        <f t="shared" si="36"/>
        <v>663.33598658689493</v>
      </c>
      <c r="K110" s="35">
        <f t="shared" si="36"/>
        <v>663.33598658689493</v>
      </c>
      <c r="L110" s="35">
        <f t="shared" si="36"/>
        <v>663.33598658689493</v>
      </c>
      <c r="M110" s="35">
        <f t="shared" si="36"/>
        <v>663.33598658689493</v>
      </c>
      <c r="N110" s="35">
        <f t="shared" si="36"/>
        <v>663.33598658689493</v>
      </c>
      <c r="O110" s="35">
        <f t="shared" si="36"/>
        <v>663.33598658689493</v>
      </c>
      <c r="P110" s="35">
        <f t="shared" si="36"/>
        <v>663.33598658689493</v>
      </c>
      <c r="Q110" s="35">
        <f t="shared" si="36"/>
        <v>663.33598658689493</v>
      </c>
      <c r="R110" s="35">
        <f t="shared" si="36"/>
        <v>663.33598658689493</v>
      </c>
      <c r="S110" s="35">
        <f t="shared" si="36"/>
        <v>783.33598658689493</v>
      </c>
      <c r="T110" s="35">
        <f t="shared" si="36"/>
        <v>783.33598658689493</v>
      </c>
      <c r="U110" s="35">
        <f t="shared" si="36"/>
        <v>783.33598658689493</v>
      </c>
      <c r="V110" s="35">
        <f t="shared" si="36"/>
        <v>783.33598658689493</v>
      </c>
      <c r="W110" s="35">
        <f t="shared" si="36"/>
        <v>783.33598658689493</v>
      </c>
      <c r="X110" s="35">
        <f t="shared" si="36"/>
        <v>783.33598658689493</v>
      </c>
      <c r="Y110" s="35">
        <f t="shared" si="36"/>
        <v>783.33598658689493</v>
      </c>
    </row>
    <row r="111" spans="1:25" x14ac:dyDescent="0.2">
      <c r="A111" s="8" t="s">
        <v>540</v>
      </c>
      <c r="B111" s="6" t="s">
        <v>541</v>
      </c>
      <c r="C111" s="6" t="s">
        <v>523</v>
      </c>
      <c r="D111" s="8" t="s">
        <v>542</v>
      </c>
      <c r="E111" s="36">
        <f t="shared" ref="E111:Y111" si="37">3600/E110</f>
        <v>5.4271139705887359</v>
      </c>
      <c r="F111" s="36">
        <f t="shared" si="37"/>
        <v>5.4271139705887359</v>
      </c>
      <c r="G111" s="36">
        <f t="shared" si="37"/>
        <v>5.4271139705887359</v>
      </c>
      <c r="H111" s="36">
        <f t="shared" si="37"/>
        <v>5.4271139705887359</v>
      </c>
      <c r="I111" s="36">
        <f t="shared" si="37"/>
        <v>5.4271139705887359</v>
      </c>
      <c r="J111" s="36">
        <f t="shared" si="37"/>
        <v>5.4271139705887359</v>
      </c>
      <c r="K111" s="36">
        <f t="shared" si="37"/>
        <v>5.4271139705887359</v>
      </c>
      <c r="L111" s="36">
        <f t="shared" si="37"/>
        <v>5.4271139705887359</v>
      </c>
      <c r="M111" s="36">
        <f t="shared" si="37"/>
        <v>5.4271139705887359</v>
      </c>
      <c r="N111" s="36">
        <f t="shared" si="37"/>
        <v>5.4271139705887359</v>
      </c>
      <c r="O111" s="36">
        <f t="shared" si="37"/>
        <v>5.4271139705887359</v>
      </c>
      <c r="P111" s="36">
        <f t="shared" si="37"/>
        <v>5.4271139705887359</v>
      </c>
      <c r="Q111" s="36">
        <f t="shared" si="37"/>
        <v>5.4271139705887359</v>
      </c>
      <c r="R111" s="36">
        <f t="shared" si="37"/>
        <v>5.4271139705887359</v>
      </c>
      <c r="S111" s="36">
        <f t="shared" si="37"/>
        <v>4.5957291145089689</v>
      </c>
      <c r="T111" s="36">
        <f t="shared" si="37"/>
        <v>4.5957291145089689</v>
      </c>
      <c r="U111" s="36">
        <f t="shared" si="37"/>
        <v>4.5957291145089689</v>
      </c>
      <c r="V111" s="36">
        <f t="shared" si="37"/>
        <v>4.5957291145089689</v>
      </c>
      <c r="W111" s="36">
        <f t="shared" si="37"/>
        <v>4.5957291145089689</v>
      </c>
      <c r="X111" s="36">
        <f t="shared" si="37"/>
        <v>4.5957291145089689</v>
      </c>
      <c r="Y111" s="36">
        <f t="shared" si="37"/>
        <v>4.5957291145089689</v>
      </c>
    </row>
    <row r="112" spans="1:25" ht="28" x14ac:dyDescent="0.2">
      <c r="A112" s="8" t="s">
        <v>543</v>
      </c>
      <c r="B112" s="6" t="s">
        <v>544</v>
      </c>
      <c r="C112" s="6" t="s">
        <v>523</v>
      </c>
      <c r="D112" s="8" t="s">
        <v>545</v>
      </c>
      <c r="E112" s="36">
        <f t="shared" ref="E112:Y112" si="38">E111*N_util*N_avail</f>
        <v>3.9075220588238899</v>
      </c>
      <c r="F112" s="36">
        <f t="shared" si="38"/>
        <v>3.9075220588238899</v>
      </c>
      <c r="G112" s="36">
        <f t="shared" si="38"/>
        <v>3.9075220588238899</v>
      </c>
      <c r="H112" s="36">
        <f t="shared" si="38"/>
        <v>3.9075220588238899</v>
      </c>
      <c r="I112" s="36">
        <f t="shared" si="38"/>
        <v>3.9075220588238899</v>
      </c>
      <c r="J112" s="36">
        <f t="shared" si="38"/>
        <v>3.9075220588238899</v>
      </c>
      <c r="K112" s="36">
        <f t="shared" si="38"/>
        <v>3.9075220588238899</v>
      </c>
      <c r="L112" s="36">
        <f t="shared" si="38"/>
        <v>3.9075220588238899</v>
      </c>
      <c r="M112" s="36">
        <f t="shared" si="38"/>
        <v>3.9075220588238899</v>
      </c>
      <c r="N112" s="36">
        <f t="shared" si="38"/>
        <v>3.9075220588238899</v>
      </c>
      <c r="O112" s="36">
        <f t="shared" si="38"/>
        <v>3.9075220588238899</v>
      </c>
      <c r="P112" s="36">
        <f t="shared" si="38"/>
        <v>3.9075220588238899</v>
      </c>
      <c r="Q112" s="36">
        <f t="shared" si="38"/>
        <v>3.9075220588238899</v>
      </c>
      <c r="R112" s="36">
        <f t="shared" si="38"/>
        <v>3.9075220588238899</v>
      </c>
      <c r="S112" s="36">
        <f t="shared" si="38"/>
        <v>3.3089249624464578</v>
      </c>
      <c r="T112" s="36">
        <f t="shared" si="38"/>
        <v>3.3089249624464578</v>
      </c>
      <c r="U112" s="36">
        <f t="shared" si="38"/>
        <v>3.3089249624464578</v>
      </c>
      <c r="V112" s="36">
        <f t="shared" si="38"/>
        <v>3.3089249624464578</v>
      </c>
      <c r="W112" s="36">
        <f t="shared" si="38"/>
        <v>3.3089249624464578</v>
      </c>
      <c r="X112" s="36">
        <f t="shared" si="38"/>
        <v>3.3089249624464578</v>
      </c>
      <c r="Y112" s="36">
        <f t="shared" si="38"/>
        <v>3.3089249624464578</v>
      </c>
    </row>
    <row r="113" spans="1:25" ht="28" x14ac:dyDescent="0.2">
      <c r="A113" s="8" t="s">
        <v>546</v>
      </c>
      <c r="B113" s="37" t="s">
        <v>547</v>
      </c>
      <c r="C113" s="6" t="s">
        <v>548</v>
      </c>
      <c r="D113" s="8" t="s">
        <v>549</v>
      </c>
      <c r="E113" s="38">
        <f t="shared" ref="E113:Y113" si="39">IF(E95=1,MAX(1,ROUNDUP(E104/E112*(1+N_reserve),0)),0)</f>
        <v>17</v>
      </c>
      <c r="F113" s="38">
        <f t="shared" si="39"/>
        <v>17</v>
      </c>
      <c r="G113" s="38">
        <f t="shared" si="39"/>
        <v>17</v>
      </c>
      <c r="H113" s="38">
        <f t="shared" si="39"/>
        <v>13</v>
      </c>
      <c r="I113" s="38">
        <f t="shared" si="39"/>
        <v>20</v>
      </c>
      <c r="J113" s="38">
        <f t="shared" si="39"/>
        <v>17</v>
      </c>
      <c r="K113" s="38">
        <f t="shared" si="39"/>
        <v>17</v>
      </c>
      <c r="L113" s="38">
        <f t="shared" si="39"/>
        <v>17</v>
      </c>
      <c r="M113" s="38">
        <f t="shared" si="39"/>
        <v>17</v>
      </c>
      <c r="N113" s="38">
        <f t="shared" si="39"/>
        <v>17</v>
      </c>
      <c r="O113" s="38">
        <f t="shared" si="39"/>
        <v>13</v>
      </c>
      <c r="P113" s="38">
        <f t="shared" si="39"/>
        <v>20</v>
      </c>
      <c r="Q113" s="38">
        <f t="shared" si="39"/>
        <v>17</v>
      </c>
      <c r="R113" s="38">
        <f t="shared" si="39"/>
        <v>17</v>
      </c>
      <c r="S113" s="38">
        <f t="shared" si="39"/>
        <v>39</v>
      </c>
      <c r="T113" s="38">
        <f t="shared" si="39"/>
        <v>39</v>
      </c>
      <c r="U113" s="38">
        <f t="shared" si="39"/>
        <v>39</v>
      </c>
      <c r="V113" s="38">
        <f t="shared" si="39"/>
        <v>31</v>
      </c>
      <c r="W113" s="38">
        <f t="shared" si="39"/>
        <v>46</v>
      </c>
      <c r="X113" s="38">
        <f t="shared" si="39"/>
        <v>39</v>
      </c>
      <c r="Y113" s="38">
        <f t="shared" si="39"/>
        <v>39</v>
      </c>
    </row>
    <row r="114" spans="1:25" x14ac:dyDescent="0.2">
      <c r="A114" s="8" t="s">
        <v>550</v>
      </c>
      <c r="B114" s="37" t="s">
        <v>551</v>
      </c>
      <c r="C114" s="6" t="s">
        <v>548</v>
      </c>
      <c r="D114" s="8" t="s">
        <v>552</v>
      </c>
      <c r="E114" s="38">
        <f t="shared" ref="E114:Y114" si="40">ROUNDUP(E113/N_charger_ratio,0)</f>
        <v>9</v>
      </c>
      <c r="F114" s="38">
        <f t="shared" si="40"/>
        <v>9</v>
      </c>
      <c r="G114" s="38">
        <f t="shared" si="40"/>
        <v>9</v>
      </c>
      <c r="H114" s="38">
        <f t="shared" si="40"/>
        <v>7</v>
      </c>
      <c r="I114" s="38">
        <f t="shared" si="40"/>
        <v>10</v>
      </c>
      <c r="J114" s="38">
        <f t="shared" si="40"/>
        <v>9</v>
      </c>
      <c r="K114" s="38">
        <f t="shared" si="40"/>
        <v>9</v>
      </c>
      <c r="L114" s="38">
        <f t="shared" si="40"/>
        <v>9</v>
      </c>
      <c r="M114" s="38">
        <f t="shared" si="40"/>
        <v>9</v>
      </c>
      <c r="N114" s="38">
        <f t="shared" si="40"/>
        <v>9</v>
      </c>
      <c r="O114" s="38">
        <f t="shared" si="40"/>
        <v>7</v>
      </c>
      <c r="P114" s="38">
        <f t="shared" si="40"/>
        <v>10</v>
      </c>
      <c r="Q114" s="38">
        <f t="shared" si="40"/>
        <v>9</v>
      </c>
      <c r="R114" s="38">
        <f t="shared" si="40"/>
        <v>9</v>
      </c>
      <c r="S114" s="38">
        <f t="shared" si="40"/>
        <v>20</v>
      </c>
      <c r="T114" s="38">
        <f t="shared" si="40"/>
        <v>20</v>
      </c>
      <c r="U114" s="38">
        <f t="shared" si="40"/>
        <v>20</v>
      </c>
      <c r="V114" s="38">
        <f t="shared" si="40"/>
        <v>16</v>
      </c>
      <c r="W114" s="38">
        <f t="shared" si="40"/>
        <v>23</v>
      </c>
      <c r="X114" s="38">
        <f t="shared" si="40"/>
        <v>20</v>
      </c>
      <c r="Y114" s="38">
        <f t="shared" si="40"/>
        <v>20</v>
      </c>
    </row>
    <row r="115" spans="1:25" x14ac:dyDescent="0.2">
      <c r="A115" s="8" t="s">
        <v>553</v>
      </c>
      <c r="B115" s="6" t="s">
        <v>554</v>
      </c>
      <c r="C115" s="6" t="s">
        <v>523</v>
      </c>
      <c r="D115" s="8" t="s">
        <v>555</v>
      </c>
      <c r="E115" s="36">
        <f t="shared" ref="E115:Y115" si="41">E113*E112</f>
        <v>66.427875000006125</v>
      </c>
      <c r="F115" s="36">
        <f t="shared" si="41"/>
        <v>66.427875000006125</v>
      </c>
      <c r="G115" s="36">
        <f t="shared" si="41"/>
        <v>66.427875000006125</v>
      </c>
      <c r="H115" s="36">
        <f t="shared" si="41"/>
        <v>50.797786764710565</v>
      </c>
      <c r="I115" s="36">
        <f t="shared" si="41"/>
        <v>78.150441176477798</v>
      </c>
      <c r="J115" s="36">
        <f t="shared" si="41"/>
        <v>66.427875000006125</v>
      </c>
      <c r="K115" s="36">
        <f t="shared" si="41"/>
        <v>66.427875000006125</v>
      </c>
      <c r="L115" s="36">
        <f t="shared" si="41"/>
        <v>66.427875000006125</v>
      </c>
      <c r="M115" s="36">
        <f t="shared" si="41"/>
        <v>66.427875000006125</v>
      </c>
      <c r="N115" s="36">
        <f t="shared" si="41"/>
        <v>66.427875000006125</v>
      </c>
      <c r="O115" s="36">
        <f t="shared" si="41"/>
        <v>50.797786764710565</v>
      </c>
      <c r="P115" s="36">
        <f t="shared" si="41"/>
        <v>78.150441176477798</v>
      </c>
      <c r="Q115" s="36">
        <f t="shared" si="41"/>
        <v>66.427875000006125</v>
      </c>
      <c r="R115" s="36">
        <f t="shared" si="41"/>
        <v>66.427875000006125</v>
      </c>
      <c r="S115" s="36">
        <f t="shared" si="41"/>
        <v>129.04807353541185</v>
      </c>
      <c r="T115" s="36">
        <f t="shared" si="41"/>
        <v>129.04807353541185</v>
      </c>
      <c r="U115" s="36">
        <f t="shared" si="41"/>
        <v>129.04807353541185</v>
      </c>
      <c r="V115" s="36">
        <f t="shared" si="41"/>
        <v>102.5766738358402</v>
      </c>
      <c r="W115" s="36">
        <f t="shared" si="41"/>
        <v>152.21054827253707</v>
      </c>
      <c r="X115" s="36">
        <f t="shared" si="41"/>
        <v>129.04807353541185</v>
      </c>
      <c r="Y115" s="36">
        <f t="shared" si="41"/>
        <v>129.04807353541185</v>
      </c>
    </row>
    <row r="116" spans="1:25" ht="26" x14ac:dyDescent="0.2">
      <c r="A116" s="8" t="s">
        <v>556</v>
      </c>
      <c r="B116" s="6" t="s">
        <v>557</v>
      </c>
      <c r="C116" s="6" t="s">
        <v>558</v>
      </c>
      <c r="D116" s="8" t="s">
        <v>559</v>
      </c>
      <c r="E116" s="40">
        <f t="shared" ref="E116:Y116" si="42">IF(E113&gt;0,E102*E100/(E113*E111),0)</f>
        <v>0.22761528951511101</v>
      </c>
      <c r="F116" s="40">
        <f t="shared" si="42"/>
        <v>0.22761528951511101</v>
      </c>
      <c r="G116" s="40">
        <f t="shared" si="42"/>
        <v>0.22761528951511101</v>
      </c>
      <c r="H116" s="40">
        <f t="shared" si="42"/>
        <v>0.23812061056965461</v>
      </c>
      <c r="I116" s="40">
        <f t="shared" si="42"/>
        <v>0.23216759530541328</v>
      </c>
      <c r="J116" s="40">
        <f t="shared" si="42"/>
        <v>0.22761528951511101</v>
      </c>
      <c r="K116" s="40">
        <f t="shared" si="42"/>
        <v>0.22761528951511101</v>
      </c>
      <c r="L116" s="40">
        <f t="shared" si="42"/>
        <v>0.22761528951511101</v>
      </c>
      <c r="M116" s="40">
        <f t="shared" si="42"/>
        <v>0.22761528951511101</v>
      </c>
      <c r="N116" s="40">
        <f t="shared" si="42"/>
        <v>0.22761528951511101</v>
      </c>
      <c r="O116" s="40">
        <f t="shared" si="42"/>
        <v>0.23812061056965461</v>
      </c>
      <c r="P116" s="40">
        <f t="shared" si="42"/>
        <v>0.23216759530541328</v>
      </c>
      <c r="Q116" s="40">
        <f t="shared" si="42"/>
        <v>0.22761528951511101</v>
      </c>
      <c r="R116" s="40">
        <f t="shared" si="42"/>
        <v>0.22761528951511101</v>
      </c>
      <c r="S116" s="40">
        <f t="shared" si="42"/>
        <v>0.23433127803881471</v>
      </c>
      <c r="T116" s="40">
        <f t="shared" si="42"/>
        <v>0.23433127803881471</v>
      </c>
      <c r="U116" s="40">
        <f t="shared" si="42"/>
        <v>0.23433127803881471</v>
      </c>
      <c r="V116" s="40">
        <f t="shared" si="42"/>
        <v>0.23584309273583934</v>
      </c>
      <c r="W116" s="40">
        <f t="shared" si="42"/>
        <v>0.23840660461340279</v>
      </c>
      <c r="X116" s="40">
        <f t="shared" si="42"/>
        <v>0.23433127803881471</v>
      </c>
      <c r="Y116" s="40">
        <f t="shared" si="42"/>
        <v>0.23433127803881471</v>
      </c>
    </row>
    <row r="117" spans="1:25" x14ac:dyDescent="0.2">
      <c r="A117" s="8" t="s">
        <v>560</v>
      </c>
      <c r="B117" s="6" t="s">
        <v>561</v>
      </c>
      <c r="C117" s="6" t="s">
        <v>55</v>
      </c>
      <c r="D117" s="8" t="s">
        <v>562</v>
      </c>
      <c r="E117" s="39">
        <f t="shared" ref="E117:Y117" si="43">E114*N_charger_kw</f>
        <v>45</v>
      </c>
      <c r="F117" s="39">
        <f t="shared" si="43"/>
        <v>45</v>
      </c>
      <c r="G117" s="39">
        <f t="shared" si="43"/>
        <v>45</v>
      </c>
      <c r="H117" s="39">
        <f t="shared" si="43"/>
        <v>35</v>
      </c>
      <c r="I117" s="39">
        <f t="shared" si="43"/>
        <v>50</v>
      </c>
      <c r="J117" s="39">
        <f t="shared" si="43"/>
        <v>45</v>
      </c>
      <c r="K117" s="39">
        <f t="shared" si="43"/>
        <v>45</v>
      </c>
      <c r="L117" s="39">
        <f t="shared" si="43"/>
        <v>45</v>
      </c>
      <c r="M117" s="39">
        <f t="shared" si="43"/>
        <v>45</v>
      </c>
      <c r="N117" s="39">
        <f t="shared" si="43"/>
        <v>45</v>
      </c>
      <c r="O117" s="39">
        <f t="shared" si="43"/>
        <v>35</v>
      </c>
      <c r="P117" s="39">
        <f t="shared" si="43"/>
        <v>50</v>
      </c>
      <c r="Q117" s="39">
        <f t="shared" si="43"/>
        <v>45</v>
      </c>
      <c r="R117" s="39">
        <f t="shared" si="43"/>
        <v>45</v>
      </c>
      <c r="S117" s="39">
        <f t="shared" si="43"/>
        <v>100</v>
      </c>
      <c r="T117" s="39">
        <f t="shared" si="43"/>
        <v>100</v>
      </c>
      <c r="U117" s="39">
        <f t="shared" si="43"/>
        <v>100</v>
      </c>
      <c r="V117" s="39">
        <f t="shared" si="43"/>
        <v>80</v>
      </c>
      <c r="W117" s="39">
        <f t="shared" si="43"/>
        <v>115</v>
      </c>
      <c r="X117" s="39">
        <f t="shared" si="43"/>
        <v>100</v>
      </c>
      <c r="Y117" s="39">
        <f t="shared" si="43"/>
        <v>100</v>
      </c>
    </row>
    <row r="118" spans="1:25" ht="26" x14ac:dyDescent="0.2">
      <c r="A118" s="8" t="s">
        <v>563</v>
      </c>
      <c r="B118" s="6" t="s">
        <v>564</v>
      </c>
      <c r="C118" s="6"/>
      <c r="D118" s="8" t="s">
        <v>879</v>
      </c>
      <c r="E118" s="6" t="str">
        <f t="shared" ref="E118:Y118" si="44">IF(E117&lt;=Aer_power_kw,"ОК","Требуется усиление сети")</f>
        <v>ОК</v>
      </c>
      <c r="F118" s="6" t="str">
        <f t="shared" si="44"/>
        <v>ОК</v>
      </c>
      <c r="G118" s="6" t="str">
        <f t="shared" si="44"/>
        <v>ОК</v>
      </c>
      <c r="H118" s="6" t="str">
        <f t="shared" si="44"/>
        <v>ОК</v>
      </c>
      <c r="I118" s="6" t="str">
        <f t="shared" si="44"/>
        <v>ОК</v>
      </c>
      <c r="J118" s="6" t="str">
        <f t="shared" si="44"/>
        <v>ОК</v>
      </c>
      <c r="K118" s="6" t="str">
        <f t="shared" si="44"/>
        <v>ОК</v>
      </c>
      <c r="L118" s="6" t="str">
        <f t="shared" si="44"/>
        <v>ОК</v>
      </c>
      <c r="M118" s="6" t="str">
        <f t="shared" si="44"/>
        <v>ОК</v>
      </c>
      <c r="N118" s="6" t="str">
        <f t="shared" si="44"/>
        <v>ОК</v>
      </c>
      <c r="O118" s="6" t="str">
        <f t="shared" si="44"/>
        <v>ОК</v>
      </c>
      <c r="P118" s="6" t="str">
        <f t="shared" si="44"/>
        <v>ОК</v>
      </c>
      <c r="Q118" s="6" t="str">
        <f t="shared" si="44"/>
        <v>ОК</v>
      </c>
      <c r="R118" s="6" t="str">
        <f t="shared" si="44"/>
        <v>ОК</v>
      </c>
      <c r="S118" s="6" t="str">
        <f t="shared" si="44"/>
        <v>ОК</v>
      </c>
      <c r="T118" s="6" t="str">
        <f t="shared" si="44"/>
        <v>ОК</v>
      </c>
      <c r="U118" s="6" t="str">
        <f t="shared" si="44"/>
        <v>ОК</v>
      </c>
      <c r="V118" s="6" t="str">
        <f t="shared" si="44"/>
        <v>ОК</v>
      </c>
      <c r="W118" s="6" t="str">
        <f t="shared" si="44"/>
        <v>ОК</v>
      </c>
      <c r="X118" s="6" t="str">
        <f t="shared" si="44"/>
        <v>ОК</v>
      </c>
      <c r="Y118" s="6" t="str">
        <f t="shared" si="44"/>
        <v>ОК</v>
      </c>
    </row>
    <row r="119" spans="1:25" x14ac:dyDescent="0.2">
      <c r="A119" s="26"/>
      <c r="B119" s="27" t="s">
        <v>566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28" x14ac:dyDescent="0.2">
      <c r="A120" s="8" t="s">
        <v>567</v>
      </c>
      <c r="B120" s="6" t="s">
        <v>568</v>
      </c>
      <c r="C120" s="6" t="s">
        <v>91</v>
      </c>
      <c r="D120" s="8" t="s">
        <v>880</v>
      </c>
      <c r="E120" s="34">
        <f t="shared" ref="E120:Y120" si="45">Aer_base_labor*E$67*E$66</f>
        <v>99993600</v>
      </c>
      <c r="F120" s="34">
        <f t="shared" si="45"/>
        <v>99993600</v>
      </c>
      <c r="G120" s="34">
        <f t="shared" si="45"/>
        <v>99993600</v>
      </c>
      <c r="H120" s="34">
        <f t="shared" si="45"/>
        <v>79994880</v>
      </c>
      <c r="I120" s="34">
        <f t="shared" si="45"/>
        <v>119992320</v>
      </c>
      <c r="J120" s="34">
        <f t="shared" si="45"/>
        <v>79994880</v>
      </c>
      <c r="K120" s="34">
        <f t="shared" si="45"/>
        <v>119992320</v>
      </c>
      <c r="L120" s="34">
        <f t="shared" si="45"/>
        <v>99993600</v>
      </c>
      <c r="M120" s="34">
        <f t="shared" si="45"/>
        <v>99993600</v>
      </c>
      <c r="N120" s="34">
        <f t="shared" si="45"/>
        <v>99993600</v>
      </c>
      <c r="O120" s="34">
        <f t="shared" si="45"/>
        <v>79994880</v>
      </c>
      <c r="P120" s="34">
        <f t="shared" si="45"/>
        <v>119992320</v>
      </c>
      <c r="Q120" s="34">
        <f t="shared" si="45"/>
        <v>79994880</v>
      </c>
      <c r="R120" s="34">
        <f t="shared" si="45"/>
        <v>119992320</v>
      </c>
      <c r="S120" s="34">
        <f t="shared" si="45"/>
        <v>99993600</v>
      </c>
      <c r="T120" s="34">
        <f t="shared" si="45"/>
        <v>99993600</v>
      </c>
      <c r="U120" s="34">
        <f t="shared" si="45"/>
        <v>99993600</v>
      </c>
      <c r="V120" s="34">
        <f t="shared" si="45"/>
        <v>79994880</v>
      </c>
      <c r="W120" s="34">
        <f t="shared" si="45"/>
        <v>119992320</v>
      </c>
      <c r="X120" s="34">
        <f t="shared" si="45"/>
        <v>79994880</v>
      </c>
      <c r="Y120" s="34">
        <f t="shared" si="45"/>
        <v>119992320</v>
      </c>
    </row>
    <row r="121" spans="1:25" x14ac:dyDescent="0.2">
      <c r="A121" s="8" t="s">
        <v>570</v>
      </c>
      <c r="B121" s="37" t="s">
        <v>571</v>
      </c>
      <c r="C121" s="6" t="s">
        <v>91</v>
      </c>
      <c r="D121" s="8" t="s">
        <v>572</v>
      </c>
      <c r="E121" s="41">
        <f t="shared" ref="E121:Y121" si="46">E120</f>
        <v>99993600</v>
      </c>
      <c r="F121" s="41">
        <f t="shared" si="46"/>
        <v>99993600</v>
      </c>
      <c r="G121" s="41">
        <f t="shared" si="46"/>
        <v>99993600</v>
      </c>
      <c r="H121" s="41">
        <f t="shared" si="46"/>
        <v>79994880</v>
      </c>
      <c r="I121" s="41">
        <f t="shared" si="46"/>
        <v>119992320</v>
      </c>
      <c r="J121" s="41">
        <f t="shared" si="46"/>
        <v>79994880</v>
      </c>
      <c r="K121" s="41">
        <f t="shared" si="46"/>
        <v>119992320</v>
      </c>
      <c r="L121" s="41">
        <f t="shared" si="46"/>
        <v>99993600</v>
      </c>
      <c r="M121" s="41">
        <f t="shared" si="46"/>
        <v>99993600</v>
      </c>
      <c r="N121" s="41">
        <f t="shared" si="46"/>
        <v>99993600</v>
      </c>
      <c r="O121" s="41">
        <f t="shared" si="46"/>
        <v>79994880</v>
      </c>
      <c r="P121" s="41">
        <f t="shared" si="46"/>
        <v>119992320</v>
      </c>
      <c r="Q121" s="41">
        <f t="shared" si="46"/>
        <v>79994880</v>
      </c>
      <c r="R121" s="41">
        <f t="shared" si="46"/>
        <v>119992320</v>
      </c>
      <c r="S121" s="41">
        <f t="shared" si="46"/>
        <v>99993600</v>
      </c>
      <c r="T121" s="41">
        <f t="shared" si="46"/>
        <v>99993600</v>
      </c>
      <c r="U121" s="41">
        <f t="shared" si="46"/>
        <v>99993600</v>
      </c>
      <c r="V121" s="41">
        <f t="shared" si="46"/>
        <v>79994880</v>
      </c>
      <c r="W121" s="41">
        <f t="shared" si="46"/>
        <v>119992320</v>
      </c>
      <c r="X121" s="41">
        <f t="shared" si="46"/>
        <v>79994880</v>
      </c>
      <c r="Y121" s="41">
        <f t="shared" si="46"/>
        <v>119992320</v>
      </c>
    </row>
    <row r="122" spans="1:25" x14ac:dyDescent="0.2">
      <c r="A122" s="26"/>
      <c r="B122" s="27" t="s">
        <v>573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x14ac:dyDescent="0.2">
      <c r="A123" s="8" t="s">
        <v>574</v>
      </c>
      <c r="B123" s="6" t="s">
        <v>575</v>
      </c>
      <c r="C123" s="6" t="s">
        <v>323</v>
      </c>
      <c r="D123" s="8" t="s">
        <v>576</v>
      </c>
      <c r="E123" s="35">
        <f t="shared" ref="E123:Y123" si="47">IF(E$64="Покупка",1,0)</f>
        <v>1</v>
      </c>
      <c r="F123" s="35">
        <f t="shared" si="47"/>
        <v>1</v>
      </c>
      <c r="G123" s="35">
        <f t="shared" si="47"/>
        <v>1</v>
      </c>
      <c r="H123" s="35">
        <f t="shared" si="47"/>
        <v>1</v>
      </c>
      <c r="I123" s="35">
        <f t="shared" si="47"/>
        <v>1</v>
      </c>
      <c r="J123" s="35">
        <f t="shared" si="47"/>
        <v>1</v>
      </c>
      <c r="K123" s="35">
        <f t="shared" si="47"/>
        <v>1</v>
      </c>
      <c r="L123" s="35">
        <f t="shared" si="47"/>
        <v>0</v>
      </c>
      <c r="M123" s="35">
        <f t="shared" si="47"/>
        <v>0</v>
      </c>
      <c r="N123" s="35">
        <f t="shared" si="47"/>
        <v>0</v>
      </c>
      <c r="O123" s="35">
        <f t="shared" si="47"/>
        <v>0</v>
      </c>
      <c r="P123" s="35">
        <f t="shared" si="47"/>
        <v>0</v>
      </c>
      <c r="Q123" s="35">
        <f t="shared" si="47"/>
        <v>0</v>
      </c>
      <c r="R123" s="35">
        <f t="shared" si="47"/>
        <v>0</v>
      </c>
      <c r="S123" s="35">
        <f t="shared" si="47"/>
        <v>1</v>
      </c>
      <c r="T123" s="35">
        <f t="shared" si="47"/>
        <v>1</v>
      </c>
      <c r="U123" s="35">
        <f t="shared" si="47"/>
        <v>1</v>
      </c>
      <c r="V123" s="35">
        <f t="shared" si="47"/>
        <v>1</v>
      </c>
      <c r="W123" s="35">
        <f t="shared" si="47"/>
        <v>1</v>
      </c>
      <c r="X123" s="35">
        <f t="shared" si="47"/>
        <v>1</v>
      </c>
      <c r="Y123" s="35">
        <f t="shared" si="47"/>
        <v>1</v>
      </c>
    </row>
    <row r="124" spans="1:25" x14ac:dyDescent="0.2">
      <c r="A124" s="8" t="s">
        <v>577</v>
      </c>
      <c r="B124" s="6" t="s">
        <v>578</v>
      </c>
      <c r="C124" s="6" t="s">
        <v>51</v>
      </c>
      <c r="D124" s="8" t="s">
        <v>579</v>
      </c>
      <c r="E124" s="34">
        <f t="shared" ref="E124:Y124" si="48">E113*E75*E123</f>
        <v>68000000</v>
      </c>
      <c r="F124" s="34">
        <f t="shared" si="48"/>
        <v>54400000</v>
      </c>
      <c r="G124" s="34">
        <f t="shared" si="48"/>
        <v>81600000</v>
      </c>
      <c r="H124" s="34">
        <f t="shared" si="48"/>
        <v>52000000</v>
      </c>
      <c r="I124" s="34">
        <f t="shared" si="48"/>
        <v>80000000</v>
      </c>
      <c r="J124" s="34">
        <f t="shared" si="48"/>
        <v>68000000</v>
      </c>
      <c r="K124" s="34">
        <f t="shared" si="48"/>
        <v>68000000</v>
      </c>
      <c r="L124" s="34">
        <f t="shared" si="48"/>
        <v>0</v>
      </c>
      <c r="M124" s="34">
        <f t="shared" si="48"/>
        <v>0</v>
      </c>
      <c r="N124" s="34">
        <f t="shared" si="48"/>
        <v>0</v>
      </c>
      <c r="O124" s="34">
        <f t="shared" si="48"/>
        <v>0</v>
      </c>
      <c r="P124" s="34">
        <f t="shared" si="48"/>
        <v>0</v>
      </c>
      <c r="Q124" s="34">
        <f t="shared" si="48"/>
        <v>0</v>
      </c>
      <c r="R124" s="34">
        <f t="shared" si="48"/>
        <v>0</v>
      </c>
      <c r="S124" s="34">
        <f t="shared" si="48"/>
        <v>234000000</v>
      </c>
      <c r="T124" s="34">
        <f t="shared" si="48"/>
        <v>187200000</v>
      </c>
      <c r="U124" s="34">
        <f t="shared" si="48"/>
        <v>280800000</v>
      </c>
      <c r="V124" s="34">
        <f t="shared" si="48"/>
        <v>186000000</v>
      </c>
      <c r="W124" s="34">
        <f t="shared" si="48"/>
        <v>276000000</v>
      </c>
      <c r="X124" s="34">
        <f t="shared" si="48"/>
        <v>234000000</v>
      </c>
      <c r="Y124" s="34">
        <f t="shared" si="48"/>
        <v>234000000</v>
      </c>
    </row>
    <row r="125" spans="1:25" x14ac:dyDescent="0.2">
      <c r="A125" s="8" t="s">
        <v>580</v>
      </c>
      <c r="B125" s="6" t="s">
        <v>581</v>
      </c>
      <c r="C125" s="6" t="s">
        <v>51</v>
      </c>
      <c r="D125" s="8" t="s">
        <v>582</v>
      </c>
      <c r="E125" s="34">
        <f t="shared" ref="E125:Y125" si="49">E114*N_charger_price*E123</f>
        <v>9000</v>
      </c>
      <c r="F125" s="34">
        <f t="shared" si="49"/>
        <v>9000</v>
      </c>
      <c r="G125" s="34">
        <f t="shared" si="49"/>
        <v>9000</v>
      </c>
      <c r="H125" s="34">
        <f t="shared" si="49"/>
        <v>7000</v>
      </c>
      <c r="I125" s="34">
        <f t="shared" si="49"/>
        <v>10000</v>
      </c>
      <c r="J125" s="34">
        <f t="shared" si="49"/>
        <v>9000</v>
      </c>
      <c r="K125" s="34">
        <f t="shared" si="49"/>
        <v>9000</v>
      </c>
      <c r="L125" s="34">
        <f t="shared" si="49"/>
        <v>0</v>
      </c>
      <c r="M125" s="34">
        <f t="shared" si="49"/>
        <v>0</v>
      </c>
      <c r="N125" s="34">
        <f t="shared" si="49"/>
        <v>0</v>
      </c>
      <c r="O125" s="34">
        <f t="shared" si="49"/>
        <v>0</v>
      </c>
      <c r="P125" s="34">
        <f t="shared" si="49"/>
        <v>0</v>
      </c>
      <c r="Q125" s="34">
        <f t="shared" si="49"/>
        <v>0</v>
      </c>
      <c r="R125" s="34">
        <f t="shared" si="49"/>
        <v>0</v>
      </c>
      <c r="S125" s="34">
        <f t="shared" si="49"/>
        <v>20000</v>
      </c>
      <c r="T125" s="34">
        <f t="shared" si="49"/>
        <v>20000</v>
      </c>
      <c r="U125" s="34">
        <f t="shared" si="49"/>
        <v>20000</v>
      </c>
      <c r="V125" s="34">
        <f t="shared" si="49"/>
        <v>16000</v>
      </c>
      <c r="W125" s="34">
        <f t="shared" si="49"/>
        <v>23000</v>
      </c>
      <c r="X125" s="34">
        <f t="shared" si="49"/>
        <v>20000</v>
      </c>
      <c r="Y125" s="34">
        <f t="shared" si="49"/>
        <v>20000</v>
      </c>
    </row>
    <row r="126" spans="1:25" ht="28" x14ac:dyDescent="0.2">
      <c r="A126" s="8" t="s">
        <v>583</v>
      </c>
      <c r="B126" s="6" t="s">
        <v>584</v>
      </c>
      <c r="C126" s="6" t="s">
        <v>51</v>
      </c>
      <c r="D126" s="8" t="s">
        <v>881</v>
      </c>
      <c r="E126" s="34">
        <f t="shared" ref="E126:Y126" si="50">E113*E75*Aer_site_pct</f>
        <v>6800000</v>
      </c>
      <c r="F126" s="34">
        <f t="shared" si="50"/>
        <v>5440000</v>
      </c>
      <c r="G126" s="34">
        <f t="shared" si="50"/>
        <v>8160000</v>
      </c>
      <c r="H126" s="34">
        <f t="shared" si="50"/>
        <v>5200000</v>
      </c>
      <c r="I126" s="34">
        <f t="shared" si="50"/>
        <v>8000000</v>
      </c>
      <c r="J126" s="34">
        <f t="shared" si="50"/>
        <v>6800000</v>
      </c>
      <c r="K126" s="34">
        <f t="shared" si="50"/>
        <v>6800000</v>
      </c>
      <c r="L126" s="34">
        <f t="shared" si="50"/>
        <v>6800000</v>
      </c>
      <c r="M126" s="34">
        <f t="shared" si="50"/>
        <v>5440000</v>
      </c>
      <c r="N126" s="34">
        <f t="shared" si="50"/>
        <v>8160000</v>
      </c>
      <c r="O126" s="34">
        <f t="shared" si="50"/>
        <v>5200000</v>
      </c>
      <c r="P126" s="34">
        <f t="shared" si="50"/>
        <v>8000000</v>
      </c>
      <c r="Q126" s="34">
        <f t="shared" si="50"/>
        <v>6800000</v>
      </c>
      <c r="R126" s="34">
        <f t="shared" si="50"/>
        <v>6800000</v>
      </c>
      <c r="S126" s="34">
        <f t="shared" si="50"/>
        <v>23400000</v>
      </c>
      <c r="T126" s="34">
        <f t="shared" si="50"/>
        <v>18720000</v>
      </c>
      <c r="U126" s="34">
        <f t="shared" si="50"/>
        <v>28080000</v>
      </c>
      <c r="V126" s="34">
        <f t="shared" si="50"/>
        <v>18600000</v>
      </c>
      <c r="W126" s="34">
        <f t="shared" si="50"/>
        <v>27600000</v>
      </c>
      <c r="X126" s="34">
        <f t="shared" si="50"/>
        <v>23400000</v>
      </c>
      <c r="Y126" s="34">
        <f t="shared" si="50"/>
        <v>23400000</v>
      </c>
    </row>
    <row r="127" spans="1:25" x14ac:dyDescent="0.2">
      <c r="A127" s="8" t="s">
        <v>586</v>
      </c>
      <c r="B127" s="6" t="s">
        <v>587</v>
      </c>
      <c r="C127" s="6" t="s">
        <v>51</v>
      </c>
      <c r="D127" s="8" t="s">
        <v>588</v>
      </c>
      <c r="E127" s="34">
        <f t="shared" ref="E127:Y127" si="51">E124*N_sw_pct</f>
        <v>6800000</v>
      </c>
      <c r="F127" s="34">
        <f t="shared" si="51"/>
        <v>5440000</v>
      </c>
      <c r="G127" s="34">
        <f t="shared" si="51"/>
        <v>8160000</v>
      </c>
      <c r="H127" s="34">
        <f t="shared" si="51"/>
        <v>5200000</v>
      </c>
      <c r="I127" s="34">
        <f t="shared" si="51"/>
        <v>8000000</v>
      </c>
      <c r="J127" s="34">
        <f t="shared" si="51"/>
        <v>6800000</v>
      </c>
      <c r="K127" s="34">
        <f t="shared" si="51"/>
        <v>6800000</v>
      </c>
      <c r="L127" s="34">
        <f t="shared" si="51"/>
        <v>0</v>
      </c>
      <c r="M127" s="34">
        <f t="shared" si="51"/>
        <v>0</v>
      </c>
      <c r="N127" s="34">
        <f t="shared" si="51"/>
        <v>0</v>
      </c>
      <c r="O127" s="34">
        <f t="shared" si="51"/>
        <v>0</v>
      </c>
      <c r="P127" s="34">
        <f t="shared" si="51"/>
        <v>0</v>
      </c>
      <c r="Q127" s="34">
        <f t="shared" si="51"/>
        <v>0</v>
      </c>
      <c r="R127" s="34">
        <f t="shared" si="51"/>
        <v>0</v>
      </c>
      <c r="S127" s="34">
        <f t="shared" si="51"/>
        <v>23400000</v>
      </c>
      <c r="T127" s="34">
        <f t="shared" si="51"/>
        <v>18720000</v>
      </c>
      <c r="U127" s="34">
        <f t="shared" si="51"/>
        <v>28080000</v>
      </c>
      <c r="V127" s="34">
        <f t="shared" si="51"/>
        <v>18600000</v>
      </c>
      <c r="W127" s="34">
        <f t="shared" si="51"/>
        <v>27600000</v>
      </c>
      <c r="X127" s="34">
        <f t="shared" si="51"/>
        <v>23400000</v>
      </c>
      <c r="Y127" s="34">
        <f t="shared" si="51"/>
        <v>23400000</v>
      </c>
    </row>
    <row r="128" spans="1:25" x14ac:dyDescent="0.2">
      <c r="A128" s="8" t="s">
        <v>589</v>
      </c>
      <c r="B128" s="6" t="s">
        <v>590</v>
      </c>
      <c r="C128" s="6" t="s">
        <v>51</v>
      </c>
      <c r="D128" s="8" t="s">
        <v>882</v>
      </c>
      <c r="E128" s="34">
        <f t="shared" ref="E128:Y128" si="52">Aer_integration*IF(E113&gt;0,1,0)</f>
        <v>3000000</v>
      </c>
      <c r="F128" s="34">
        <f t="shared" si="52"/>
        <v>3000000</v>
      </c>
      <c r="G128" s="34">
        <f t="shared" si="52"/>
        <v>3000000</v>
      </c>
      <c r="H128" s="34">
        <f t="shared" si="52"/>
        <v>3000000</v>
      </c>
      <c r="I128" s="34">
        <f t="shared" si="52"/>
        <v>3000000</v>
      </c>
      <c r="J128" s="34">
        <f t="shared" si="52"/>
        <v>3000000</v>
      </c>
      <c r="K128" s="34">
        <f t="shared" si="52"/>
        <v>3000000</v>
      </c>
      <c r="L128" s="34">
        <f t="shared" si="52"/>
        <v>3000000</v>
      </c>
      <c r="M128" s="34">
        <f t="shared" si="52"/>
        <v>3000000</v>
      </c>
      <c r="N128" s="34">
        <f t="shared" si="52"/>
        <v>3000000</v>
      </c>
      <c r="O128" s="34">
        <f t="shared" si="52"/>
        <v>3000000</v>
      </c>
      <c r="P128" s="34">
        <f t="shared" si="52"/>
        <v>3000000</v>
      </c>
      <c r="Q128" s="34">
        <f t="shared" si="52"/>
        <v>3000000</v>
      </c>
      <c r="R128" s="34">
        <f t="shared" si="52"/>
        <v>3000000</v>
      </c>
      <c r="S128" s="34">
        <f t="shared" si="52"/>
        <v>3000000</v>
      </c>
      <c r="T128" s="34">
        <f t="shared" si="52"/>
        <v>3000000</v>
      </c>
      <c r="U128" s="34">
        <f t="shared" si="52"/>
        <v>3000000</v>
      </c>
      <c r="V128" s="34">
        <f t="shared" si="52"/>
        <v>3000000</v>
      </c>
      <c r="W128" s="34">
        <f t="shared" si="52"/>
        <v>3000000</v>
      </c>
      <c r="X128" s="34">
        <f t="shared" si="52"/>
        <v>3000000</v>
      </c>
      <c r="Y128" s="34">
        <f t="shared" si="52"/>
        <v>3000000</v>
      </c>
    </row>
    <row r="129" spans="1:25" x14ac:dyDescent="0.2">
      <c r="A129" s="8" t="s">
        <v>592</v>
      </c>
      <c r="B129" s="6" t="s">
        <v>593</v>
      </c>
      <c r="C129" s="6" t="s">
        <v>51</v>
      </c>
      <c r="D129" s="8" t="s">
        <v>594</v>
      </c>
      <c r="E129" s="34">
        <f t="shared" ref="E129:Y129" si="53">E124*N_delivery_pct</f>
        <v>3400000</v>
      </c>
      <c r="F129" s="34">
        <f t="shared" si="53"/>
        <v>2720000</v>
      </c>
      <c r="G129" s="34">
        <f t="shared" si="53"/>
        <v>4080000</v>
      </c>
      <c r="H129" s="34">
        <f t="shared" si="53"/>
        <v>2600000</v>
      </c>
      <c r="I129" s="34">
        <f t="shared" si="53"/>
        <v>4000000</v>
      </c>
      <c r="J129" s="34">
        <f t="shared" si="53"/>
        <v>3400000</v>
      </c>
      <c r="K129" s="34">
        <f t="shared" si="53"/>
        <v>3400000</v>
      </c>
      <c r="L129" s="34">
        <f t="shared" si="53"/>
        <v>0</v>
      </c>
      <c r="M129" s="34">
        <f t="shared" si="53"/>
        <v>0</v>
      </c>
      <c r="N129" s="34">
        <f t="shared" si="53"/>
        <v>0</v>
      </c>
      <c r="O129" s="34">
        <f t="shared" si="53"/>
        <v>0</v>
      </c>
      <c r="P129" s="34">
        <f t="shared" si="53"/>
        <v>0</v>
      </c>
      <c r="Q129" s="34">
        <f t="shared" si="53"/>
        <v>0</v>
      </c>
      <c r="R129" s="34">
        <f t="shared" si="53"/>
        <v>0</v>
      </c>
      <c r="S129" s="34">
        <f t="shared" si="53"/>
        <v>11700000</v>
      </c>
      <c r="T129" s="34">
        <f t="shared" si="53"/>
        <v>9360000</v>
      </c>
      <c r="U129" s="34">
        <f t="shared" si="53"/>
        <v>14040000</v>
      </c>
      <c r="V129" s="34">
        <f t="shared" si="53"/>
        <v>9300000</v>
      </c>
      <c r="W129" s="34">
        <f t="shared" si="53"/>
        <v>13800000</v>
      </c>
      <c r="X129" s="34">
        <f t="shared" si="53"/>
        <v>11700000</v>
      </c>
      <c r="Y129" s="34">
        <f t="shared" si="53"/>
        <v>11700000</v>
      </c>
    </row>
    <row r="130" spans="1:25" ht="26" x14ac:dyDescent="0.2">
      <c r="A130" s="8" t="s">
        <v>595</v>
      </c>
      <c r="B130" s="6" t="s">
        <v>596</v>
      </c>
      <c r="C130" s="6" t="s">
        <v>51</v>
      </c>
      <c r="D130" s="8" t="s">
        <v>597</v>
      </c>
      <c r="E130" s="34">
        <f t="shared" ref="E130:Y130" si="54">E124*N_pnr_pct+(1-E123)*E113*E75*N_raas_setup</f>
        <v>6800000</v>
      </c>
      <c r="F130" s="34">
        <f t="shared" si="54"/>
        <v>5440000</v>
      </c>
      <c r="G130" s="34">
        <f t="shared" si="54"/>
        <v>8160000</v>
      </c>
      <c r="H130" s="34">
        <f t="shared" si="54"/>
        <v>5200000</v>
      </c>
      <c r="I130" s="34">
        <f t="shared" si="54"/>
        <v>8000000</v>
      </c>
      <c r="J130" s="34">
        <f t="shared" si="54"/>
        <v>6800000</v>
      </c>
      <c r="K130" s="34">
        <f t="shared" si="54"/>
        <v>6800000</v>
      </c>
      <c r="L130" s="34">
        <f t="shared" si="54"/>
        <v>6800000</v>
      </c>
      <c r="M130" s="34">
        <f t="shared" si="54"/>
        <v>5440000</v>
      </c>
      <c r="N130" s="34">
        <f t="shared" si="54"/>
        <v>8160000</v>
      </c>
      <c r="O130" s="34">
        <f t="shared" si="54"/>
        <v>5200000</v>
      </c>
      <c r="P130" s="34">
        <f t="shared" si="54"/>
        <v>8000000</v>
      </c>
      <c r="Q130" s="34">
        <f t="shared" si="54"/>
        <v>6800000</v>
      </c>
      <c r="R130" s="34">
        <f t="shared" si="54"/>
        <v>6800000</v>
      </c>
      <c r="S130" s="34">
        <f t="shared" si="54"/>
        <v>23400000</v>
      </c>
      <c r="T130" s="34">
        <f t="shared" si="54"/>
        <v>18720000</v>
      </c>
      <c r="U130" s="34">
        <f t="shared" si="54"/>
        <v>28080000</v>
      </c>
      <c r="V130" s="34">
        <f t="shared" si="54"/>
        <v>18600000</v>
      </c>
      <c r="W130" s="34">
        <f t="shared" si="54"/>
        <v>27600000</v>
      </c>
      <c r="X130" s="34">
        <f t="shared" si="54"/>
        <v>23400000</v>
      </c>
      <c r="Y130" s="34">
        <f t="shared" si="54"/>
        <v>23400000</v>
      </c>
    </row>
    <row r="131" spans="1:25" x14ac:dyDescent="0.2">
      <c r="A131" s="8" t="s">
        <v>598</v>
      </c>
      <c r="B131" s="6" t="s">
        <v>599</v>
      </c>
      <c r="C131" s="6" t="s">
        <v>51</v>
      </c>
      <c r="D131" s="8" t="s">
        <v>600</v>
      </c>
      <c r="E131" s="34">
        <f t="shared" ref="E131:Y131" si="55">N_training*IF(E113&gt;0,1,0)</f>
        <v>500</v>
      </c>
      <c r="F131" s="34">
        <f t="shared" si="55"/>
        <v>500</v>
      </c>
      <c r="G131" s="34">
        <f t="shared" si="55"/>
        <v>500</v>
      </c>
      <c r="H131" s="34">
        <f t="shared" si="55"/>
        <v>500</v>
      </c>
      <c r="I131" s="34">
        <f t="shared" si="55"/>
        <v>500</v>
      </c>
      <c r="J131" s="34">
        <f t="shared" si="55"/>
        <v>500</v>
      </c>
      <c r="K131" s="34">
        <f t="shared" si="55"/>
        <v>500</v>
      </c>
      <c r="L131" s="34">
        <f t="shared" si="55"/>
        <v>500</v>
      </c>
      <c r="M131" s="34">
        <f t="shared" si="55"/>
        <v>500</v>
      </c>
      <c r="N131" s="34">
        <f t="shared" si="55"/>
        <v>500</v>
      </c>
      <c r="O131" s="34">
        <f t="shared" si="55"/>
        <v>500</v>
      </c>
      <c r="P131" s="34">
        <f t="shared" si="55"/>
        <v>500</v>
      </c>
      <c r="Q131" s="34">
        <f t="shared" si="55"/>
        <v>500</v>
      </c>
      <c r="R131" s="34">
        <f t="shared" si="55"/>
        <v>500</v>
      </c>
      <c r="S131" s="34">
        <f t="shared" si="55"/>
        <v>500</v>
      </c>
      <c r="T131" s="34">
        <f t="shared" si="55"/>
        <v>500</v>
      </c>
      <c r="U131" s="34">
        <f t="shared" si="55"/>
        <v>500</v>
      </c>
      <c r="V131" s="34">
        <f t="shared" si="55"/>
        <v>500</v>
      </c>
      <c r="W131" s="34">
        <f t="shared" si="55"/>
        <v>500</v>
      </c>
      <c r="X131" s="34">
        <f t="shared" si="55"/>
        <v>500</v>
      </c>
      <c r="Y131" s="34">
        <f t="shared" si="55"/>
        <v>500</v>
      </c>
    </row>
    <row r="132" spans="1:25" ht="39" x14ac:dyDescent="0.2">
      <c r="A132" s="8" t="s">
        <v>601</v>
      </c>
      <c r="B132" s="6" t="s">
        <v>602</v>
      </c>
      <c r="C132" s="6" t="s">
        <v>51</v>
      </c>
      <c r="D132" s="8" t="s">
        <v>603</v>
      </c>
      <c r="E132" s="34">
        <f t="shared" ref="E132:Y132" si="56">E124+E125+E126+E127+E128+E129+E130+E131</f>
        <v>94809500</v>
      </c>
      <c r="F132" s="34">
        <f t="shared" si="56"/>
        <v>76449500</v>
      </c>
      <c r="G132" s="34">
        <f t="shared" si="56"/>
        <v>113169500</v>
      </c>
      <c r="H132" s="34">
        <f t="shared" si="56"/>
        <v>73207500</v>
      </c>
      <c r="I132" s="34">
        <f t="shared" si="56"/>
        <v>111010500</v>
      </c>
      <c r="J132" s="34">
        <f t="shared" si="56"/>
        <v>94809500</v>
      </c>
      <c r="K132" s="34">
        <f t="shared" si="56"/>
        <v>94809500</v>
      </c>
      <c r="L132" s="34">
        <f t="shared" si="56"/>
        <v>16600500</v>
      </c>
      <c r="M132" s="34">
        <f t="shared" si="56"/>
        <v>13880500</v>
      </c>
      <c r="N132" s="34">
        <f t="shared" si="56"/>
        <v>19320500</v>
      </c>
      <c r="O132" s="34">
        <f t="shared" si="56"/>
        <v>13400500</v>
      </c>
      <c r="P132" s="34">
        <f t="shared" si="56"/>
        <v>19000500</v>
      </c>
      <c r="Q132" s="34">
        <f t="shared" si="56"/>
        <v>16600500</v>
      </c>
      <c r="R132" s="34">
        <f t="shared" si="56"/>
        <v>16600500</v>
      </c>
      <c r="S132" s="34">
        <f t="shared" si="56"/>
        <v>318920500</v>
      </c>
      <c r="T132" s="34">
        <f t="shared" si="56"/>
        <v>255740500</v>
      </c>
      <c r="U132" s="34">
        <f t="shared" si="56"/>
        <v>382100500</v>
      </c>
      <c r="V132" s="34">
        <f t="shared" si="56"/>
        <v>254116500</v>
      </c>
      <c r="W132" s="34">
        <f t="shared" si="56"/>
        <v>375623500</v>
      </c>
      <c r="X132" s="34">
        <f t="shared" si="56"/>
        <v>318920500</v>
      </c>
      <c r="Y132" s="34">
        <f t="shared" si="56"/>
        <v>318920500</v>
      </c>
    </row>
    <row r="133" spans="1:25" x14ac:dyDescent="0.2">
      <c r="A133" s="8" t="s">
        <v>604</v>
      </c>
      <c r="B133" s="6" t="s">
        <v>605</v>
      </c>
      <c r="C133" s="6" t="s">
        <v>51</v>
      </c>
      <c r="D133" s="8" t="s">
        <v>606</v>
      </c>
      <c r="E133" s="34">
        <f t="shared" ref="E133:Y133" si="57">E132*N_capex_reserve</f>
        <v>9480950</v>
      </c>
      <c r="F133" s="34">
        <f t="shared" si="57"/>
        <v>7644950</v>
      </c>
      <c r="G133" s="34">
        <f t="shared" si="57"/>
        <v>11316950</v>
      </c>
      <c r="H133" s="34">
        <f t="shared" si="57"/>
        <v>7320750</v>
      </c>
      <c r="I133" s="34">
        <f t="shared" si="57"/>
        <v>11101050</v>
      </c>
      <c r="J133" s="34">
        <f t="shared" si="57"/>
        <v>9480950</v>
      </c>
      <c r="K133" s="34">
        <f t="shared" si="57"/>
        <v>9480950</v>
      </c>
      <c r="L133" s="34">
        <f t="shared" si="57"/>
        <v>1660050</v>
      </c>
      <c r="M133" s="34">
        <f t="shared" si="57"/>
        <v>1388050</v>
      </c>
      <c r="N133" s="34">
        <f t="shared" si="57"/>
        <v>1932050</v>
      </c>
      <c r="O133" s="34">
        <f t="shared" si="57"/>
        <v>1340050</v>
      </c>
      <c r="P133" s="34">
        <f t="shared" si="57"/>
        <v>1900050</v>
      </c>
      <c r="Q133" s="34">
        <f t="shared" si="57"/>
        <v>1660050</v>
      </c>
      <c r="R133" s="34">
        <f t="shared" si="57"/>
        <v>1660050</v>
      </c>
      <c r="S133" s="34">
        <f t="shared" si="57"/>
        <v>31892050</v>
      </c>
      <c r="T133" s="34">
        <f t="shared" si="57"/>
        <v>25574050</v>
      </c>
      <c r="U133" s="34">
        <f t="shared" si="57"/>
        <v>38210050</v>
      </c>
      <c r="V133" s="34">
        <f t="shared" si="57"/>
        <v>25411650</v>
      </c>
      <c r="W133" s="34">
        <f t="shared" si="57"/>
        <v>37562350</v>
      </c>
      <c r="X133" s="34">
        <f t="shared" si="57"/>
        <v>31892050</v>
      </c>
      <c r="Y133" s="34">
        <f t="shared" si="57"/>
        <v>31892050</v>
      </c>
    </row>
    <row r="134" spans="1:25" x14ac:dyDescent="0.2">
      <c r="A134" s="8" t="s">
        <v>607</v>
      </c>
      <c r="B134" s="37" t="s">
        <v>608</v>
      </c>
      <c r="C134" s="6" t="s">
        <v>51</v>
      </c>
      <c r="D134" s="8" t="s">
        <v>609</v>
      </c>
      <c r="E134" s="41">
        <f t="shared" ref="E134:Y134" si="58">E132+E133</f>
        <v>104290450</v>
      </c>
      <c r="F134" s="41">
        <f t="shared" si="58"/>
        <v>84094450</v>
      </c>
      <c r="G134" s="41">
        <f t="shared" si="58"/>
        <v>124486450</v>
      </c>
      <c r="H134" s="41">
        <f t="shared" si="58"/>
        <v>80528250</v>
      </c>
      <c r="I134" s="41">
        <f t="shared" si="58"/>
        <v>122111550</v>
      </c>
      <c r="J134" s="41">
        <f t="shared" si="58"/>
        <v>104290450</v>
      </c>
      <c r="K134" s="41">
        <f t="shared" si="58"/>
        <v>104290450</v>
      </c>
      <c r="L134" s="41">
        <f t="shared" si="58"/>
        <v>18260550</v>
      </c>
      <c r="M134" s="41">
        <f t="shared" si="58"/>
        <v>15268550</v>
      </c>
      <c r="N134" s="41">
        <f t="shared" si="58"/>
        <v>21252550</v>
      </c>
      <c r="O134" s="41">
        <f t="shared" si="58"/>
        <v>14740550</v>
      </c>
      <c r="P134" s="41">
        <f t="shared" si="58"/>
        <v>20900550</v>
      </c>
      <c r="Q134" s="41">
        <f t="shared" si="58"/>
        <v>18260550</v>
      </c>
      <c r="R134" s="41">
        <f t="shared" si="58"/>
        <v>18260550</v>
      </c>
      <c r="S134" s="41">
        <f t="shared" si="58"/>
        <v>350812550</v>
      </c>
      <c r="T134" s="41">
        <f t="shared" si="58"/>
        <v>281314550</v>
      </c>
      <c r="U134" s="41">
        <f t="shared" si="58"/>
        <v>420310550</v>
      </c>
      <c r="V134" s="41">
        <f t="shared" si="58"/>
        <v>279528150</v>
      </c>
      <c r="W134" s="41">
        <f t="shared" si="58"/>
        <v>413185850</v>
      </c>
      <c r="X134" s="41">
        <f t="shared" si="58"/>
        <v>350812550</v>
      </c>
      <c r="Y134" s="41">
        <f t="shared" si="58"/>
        <v>350812550</v>
      </c>
    </row>
    <row r="135" spans="1:25" ht="26" x14ac:dyDescent="0.2">
      <c r="A135" s="8" t="s">
        <v>610</v>
      </c>
      <c r="B135" s="6" t="s">
        <v>611</v>
      </c>
      <c r="C135" s="6"/>
      <c r="D135" s="8" t="s">
        <v>883</v>
      </c>
      <c r="E135" s="6" t="str">
        <f t="shared" ref="E135:Y135" si="59">IF(E134&lt;=Aer_budget*1000000,"В бюджете","Превышает бюджет")</f>
        <v>В бюджете</v>
      </c>
      <c r="F135" s="6" t="str">
        <f t="shared" si="59"/>
        <v>В бюджете</v>
      </c>
      <c r="G135" s="6" t="str">
        <f t="shared" si="59"/>
        <v>Превышает бюджет</v>
      </c>
      <c r="H135" s="6" t="str">
        <f t="shared" si="59"/>
        <v>В бюджете</v>
      </c>
      <c r="I135" s="6" t="str">
        <f t="shared" si="59"/>
        <v>Превышает бюджет</v>
      </c>
      <c r="J135" s="6" t="str">
        <f t="shared" si="59"/>
        <v>В бюджете</v>
      </c>
      <c r="K135" s="6" t="str">
        <f t="shared" si="59"/>
        <v>В бюджете</v>
      </c>
      <c r="L135" s="6" t="str">
        <f t="shared" si="59"/>
        <v>В бюджете</v>
      </c>
      <c r="M135" s="6" t="str">
        <f t="shared" si="59"/>
        <v>В бюджете</v>
      </c>
      <c r="N135" s="6" t="str">
        <f t="shared" si="59"/>
        <v>В бюджете</v>
      </c>
      <c r="O135" s="6" t="str">
        <f t="shared" si="59"/>
        <v>В бюджете</v>
      </c>
      <c r="P135" s="6" t="str">
        <f t="shared" si="59"/>
        <v>В бюджете</v>
      </c>
      <c r="Q135" s="6" t="str">
        <f t="shared" si="59"/>
        <v>В бюджете</v>
      </c>
      <c r="R135" s="6" t="str">
        <f t="shared" si="59"/>
        <v>В бюджете</v>
      </c>
      <c r="S135" s="6" t="str">
        <f t="shared" si="59"/>
        <v>Превышает бюджет</v>
      </c>
      <c r="T135" s="6" t="str">
        <f t="shared" si="59"/>
        <v>Превышает бюджет</v>
      </c>
      <c r="U135" s="6" t="str">
        <f t="shared" si="59"/>
        <v>Превышает бюджет</v>
      </c>
      <c r="V135" s="6" t="str">
        <f t="shared" si="59"/>
        <v>Превышает бюджет</v>
      </c>
      <c r="W135" s="6" t="str">
        <f t="shared" si="59"/>
        <v>Превышает бюджет</v>
      </c>
      <c r="X135" s="6" t="str">
        <f t="shared" si="59"/>
        <v>Превышает бюджет</v>
      </c>
      <c r="Y135" s="6" t="str">
        <f t="shared" si="59"/>
        <v>Превышает бюджет</v>
      </c>
    </row>
    <row r="136" spans="1:25" x14ac:dyDescent="0.2">
      <c r="A136" s="26"/>
      <c r="B136" s="27" t="s">
        <v>613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28" x14ac:dyDescent="0.2">
      <c r="A137" s="8" t="s">
        <v>614</v>
      </c>
      <c r="B137" s="6" t="s">
        <v>615</v>
      </c>
      <c r="C137" s="6" t="s">
        <v>91</v>
      </c>
      <c r="D137" s="8" t="s">
        <v>616</v>
      </c>
      <c r="E137" s="34">
        <f t="shared" ref="E137:Y137" si="60">(1-E123)*E113*E75*N_raas_pct*12</f>
        <v>0</v>
      </c>
      <c r="F137" s="34">
        <f t="shared" si="60"/>
        <v>0</v>
      </c>
      <c r="G137" s="34">
        <f t="shared" si="60"/>
        <v>0</v>
      </c>
      <c r="H137" s="34">
        <f t="shared" si="60"/>
        <v>0</v>
      </c>
      <c r="I137" s="34">
        <f t="shared" si="60"/>
        <v>0</v>
      </c>
      <c r="J137" s="34">
        <f t="shared" si="60"/>
        <v>0</v>
      </c>
      <c r="K137" s="34">
        <f t="shared" si="60"/>
        <v>0</v>
      </c>
      <c r="L137" s="34">
        <f t="shared" si="60"/>
        <v>16320000</v>
      </c>
      <c r="M137" s="34">
        <f t="shared" si="60"/>
        <v>13056000</v>
      </c>
      <c r="N137" s="34">
        <f t="shared" si="60"/>
        <v>19584000</v>
      </c>
      <c r="O137" s="34">
        <f t="shared" si="60"/>
        <v>12480000</v>
      </c>
      <c r="P137" s="34">
        <f t="shared" si="60"/>
        <v>19200000</v>
      </c>
      <c r="Q137" s="34">
        <f t="shared" si="60"/>
        <v>16320000</v>
      </c>
      <c r="R137" s="34">
        <f t="shared" si="60"/>
        <v>16320000</v>
      </c>
      <c r="S137" s="34">
        <f t="shared" si="60"/>
        <v>0</v>
      </c>
      <c r="T137" s="34">
        <f t="shared" si="60"/>
        <v>0</v>
      </c>
      <c r="U137" s="34">
        <f t="shared" si="60"/>
        <v>0</v>
      </c>
      <c r="V137" s="34">
        <f t="shared" si="60"/>
        <v>0</v>
      </c>
      <c r="W137" s="34">
        <f t="shared" si="60"/>
        <v>0</v>
      </c>
      <c r="X137" s="34">
        <f t="shared" si="60"/>
        <v>0</v>
      </c>
      <c r="Y137" s="34">
        <f t="shared" si="60"/>
        <v>0</v>
      </c>
    </row>
    <row r="138" spans="1:25" x14ac:dyDescent="0.2">
      <c r="A138" s="8" t="s">
        <v>617</v>
      </c>
      <c r="B138" s="6" t="s">
        <v>618</v>
      </c>
      <c r="C138" s="6" t="s">
        <v>91</v>
      </c>
      <c r="D138" s="8" t="s">
        <v>619</v>
      </c>
      <c r="E138" s="34">
        <f t="shared" ref="E138:Y138" si="61">E123*E124*N_service_pct</f>
        <v>3400000</v>
      </c>
      <c r="F138" s="34">
        <f t="shared" si="61"/>
        <v>2720000</v>
      </c>
      <c r="G138" s="34">
        <f t="shared" si="61"/>
        <v>4080000</v>
      </c>
      <c r="H138" s="34">
        <f t="shared" si="61"/>
        <v>2600000</v>
      </c>
      <c r="I138" s="34">
        <f t="shared" si="61"/>
        <v>4000000</v>
      </c>
      <c r="J138" s="34">
        <f t="shared" si="61"/>
        <v>3400000</v>
      </c>
      <c r="K138" s="34">
        <f t="shared" si="61"/>
        <v>3400000</v>
      </c>
      <c r="L138" s="34">
        <f t="shared" si="61"/>
        <v>0</v>
      </c>
      <c r="M138" s="34">
        <f t="shared" si="61"/>
        <v>0</v>
      </c>
      <c r="N138" s="34">
        <f t="shared" si="61"/>
        <v>0</v>
      </c>
      <c r="O138" s="34">
        <f t="shared" si="61"/>
        <v>0</v>
      </c>
      <c r="P138" s="34">
        <f t="shared" si="61"/>
        <v>0</v>
      </c>
      <c r="Q138" s="34">
        <f t="shared" si="61"/>
        <v>0</v>
      </c>
      <c r="R138" s="34">
        <f t="shared" si="61"/>
        <v>0</v>
      </c>
      <c r="S138" s="34">
        <f t="shared" si="61"/>
        <v>11700000</v>
      </c>
      <c r="T138" s="34">
        <f t="shared" si="61"/>
        <v>9360000</v>
      </c>
      <c r="U138" s="34">
        <f t="shared" si="61"/>
        <v>14040000</v>
      </c>
      <c r="V138" s="34">
        <f t="shared" si="61"/>
        <v>9300000</v>
      </c>
      <c r="W138" s="34">
        <f t="shared" si="61"/>
        <v>13800000</v>
      </c>
      <c r="X138" s="34">
        <f t="shared" si="61"/>
        <v>11700000</v>
      </c>
      <c r="Y138" s="34">
        <f t="shared" si="61"/>
        <v>11700000</v>
      </c>
    </row>
    <row r="139" spans="1:25" x14ac:dyDescent="0.2">
      <c r="A139" s="8" t="s">
        <v>620</v>
      </c>
      <c r="B139" s="6" t="s">
        <v>621</v>
      </c>
      <c r="C139" s="6" t="s">
        <v>91</v>
      </c>
      <c r="D139" s="8" t="s">
        <v>622</v>
      </c>
      <c r="E139" s="34">
        <f t="shared" ref="E139:Y139" si="62">E123*E124*N_license_pct</f>
        <v>1360000</v>
      </c>
      <c r="F139" s="34">
        <f t="shared" si="62"/>
        <v>1088000</v>
      </c>
      <c r="G139" s="34">
        <f t="shared" si="62"/>
        <v>1632000</v>
      </c>
      <c r="H139" s="34">
        <f t="shared" si="62"/>
        <v>1040000</v>
      </c>
      <c r="I139" s="34">
        <f t="shared" si="62"/>
        <v>1600000</v>
      </c>
      <c r="J139" s="34">
        <f t="shared" si="62"/>
        <v>1360000</v>
      </c>
      <c r="K139" s="34">
        <f t="shared" si="62"/>
        <v>1360000</v>
      </c>
      <c r="L139" s="34">
        <f t="shared" si="62"/>
        <v>0</v>
      </c>
      <c r="M139" s="34">
        <f t="shared" si="62"/>
        <v>0</v>
      </c>
      <c r="N139" s="34">
        <f t="shared" si="62"/>
        <v>0</v>
      </c>
      <c r="O139" s="34">
        <f t="shared" si="62"/>
        <v>0</v>
      </c>
      <c r="P139" s="34">
        <f t="shared" si="62"/>
        <v>0</v>
      </c>
      <c r="Q139" s="34">
        <f t="shared" si="62"/>
        <v>0</v>
      </c>
      <c r="R139" s="34">
        <f t="shared" si="62"/>
        <v>0</v>
      </c>
      <c r="S139" s="34">
        <f t="shared" si="62"/>
        <v>4680000</v>
      </c>
      <c r="T139" s="34">
        <f t="shared" si="62"/>
        <v>3744000</v>
      </c>
      <c r="U139" s="34">
        <f t="shared" si="62"/>
        <v>5616000</v>
      </c>
      <c r="V139" s="34">
        <f t="shared" si="62"/>
        <v>3720000</v>
      </c>
      <c r="W139" s="34">
        <f t="shared" si="62"/>
        <v>5520000</v>
      </c>
      <c r="X139" s="34">
        <f t="shared" si="62"/>
        <v>4680000</v>
      </c>
      <c r="Y139" s="34">
        <f t="shared" si="62"/>
        <v>4680000</v>
      </c>
    </row>
    <row r="140" spans="1:25" x14ac:dyDescent="0.2">
      <c r="A140" s="8" t="s">
        <v>623</v>
      </c>
      <c r="B140" s="6" t="s">
        <v>624</v>
      </c>
      <c r="C140" s="6" t="s">
        <v>91</v>
      </c>
      <c r="D140" s="8" t="s">
        <v>625</v>
      </c>
      <c r="E140" s="34">
        <f t="shared" ref="E140:Y140" si="63">E123*E124*N_repair_pct</f>
        <v>2040000</v>
      </c>
      <c r="F140" s="34">
        <f t="shared" si="63"/>
        <v>1632000</v>
      </c>
      <c r="G140" s="34">
        <f t="shared" si="63"/>
        <v>2448000</v>
      </c>
      <c r="H140" s="34">
        <f t="shared" si="63"/>
        <v>1560000</v>
      </c>
      <c r="I140" s="34">
        <f t="shared" si="63"/>
        <v>2400000</v>
      </c>
      <c r="J140" s="34">
        <f t="shared" si="63"/>
        <v>2040000</v>
      </c>
      <c r="K140" s="34">
        <f t="shared" si="63"/>
        <v>2040000</v>
      </c>
      <c r="L140" s="34">
        <f t="shared" si="63"/>
        <v>0</v>
      </c>
      <c r="M140" s="34">
        <f t="shared" si="63"/>
        <v>0</v>
      </c>
      <c r="N140" s="34">
        <f t="shared" si="63"/>
        <v>0</v>
      </c>
      <c r="O140" s="34">
        <f t="shared" si="63"/>
        <v>0</v>
      </c>
      <c r="P140" s="34">
        <f t="shared" si="63"/>
        <v>0</v>
      </c>
      <c r="Q140" s="34">
        <f t="shared" si="63"/>
        <v>0</v>
      </c>
      <c r="R140" s="34">
        <f t="shared" si="63"/>
        <v>0</v>
      </c>
      <c r="S140" s="34">
        <f t="shared" si="63"/>
        <v>7020000</v>
      </c>
      <c r="T140" s="34">
        <f t="shared" si="63"/>
        <v>5616000</v>
      </c>
      <c r="U140" s="34">
        <f t="shared" si="63"/>
        <v>8424000</v>
      </c>
      <c r="V140" s="34">
        <f t="shared" si="63"/>
        <v>5580000</v>
      </c>
      <c r="W140" s="34">
        <f t="shared" si="63"/>
        <v>8280000</v>
      </c>
      <c r="X140" s="34">
        <f t="shared" si="63"/>
        <v>7020000</v>
      </c>
      <c r="Y140" s="34">
        <f t="shared" si="63"/>
        <v>7020000</v>
      </c>
    </row>
    <row r="141" spans="1:25" x14ac:dyDescent="0.2">
      <c r="A141" s="8" t="s">
        <v>626</v>
      </c>
      <c r="B141" s="6" t="s">
        <v>627</v>
      </c>
      <c r="C141" s="6" t="s">
        <v>91</v>
      </c>
      <c r="D141" s="8" t="s">
        <v>628</v>
      </c>
      <c r="E141" s="34">
        <f t="shared" ref="E141:Y141" si="64">E113*E80*E101*365*N_energy_price</f>
        <v>178704</v>
      </c>
      <c r="F141" s="34">
        <f t="shared" si="64"/>
        <v>178704</v>
      </c>
      <c r="G141" s="34">
        <f t="shared" si="64"/>
        <v>178704</v>
      </c>
      <c r="H141" s="34">
        <f t="shared" si="64"/>
        <v>136656</v>
      </c>
      <c r="I141" s="34">
        <f t="shared" si="64"/>
        <v>210240</v>
      </c>
      <c r="J141" s="34">
        <f t="shared" si="64"/>
        <v>178704</v>
      </c>
      <c r="K141" s="34">
        <f t="shared" si="64"/>
        <v>178704</v>
      </c>
      <c r="L141" s="34">
        <f t="shared" si="64"/>
        <v>178704</v>
      </c>
      <c r="M141" s="34">
        <f t="shared" si="64"/>
        <v>178704</v>
      </c>
      <c r="N141" s="34">
        <f t="shared" si="64"/>
        <v>178704</v>
      </c>
      <c r="O141" s="34">
        <f t="shared" si="64"/>
        <v>136656</v>
      </c>
      <c r="P141" s="34">
        <f t="shared" si="64"/>
        <v>210240</v>
      </c>
      <c r="Q141" s="34">
        <f t="shared" si="64"/>
        <v>178704</v>
      </c>
      <c r="R141" s="34">
        <f t="shared" si="64"/>
        <v>178704</v>
      </c>
      <c r="S141" s="34">
        <f t="shared" si="64"/>
        <v>409968</v>
      </c>
      <c r="T141" s="34">
        <f t="shared" si="64"/>
        <v>409968</v>
      </c>
      <c r="U141" s="34">
        <f t="shared" si="64"/>
        <v>409968</v>
      </c>
      <c r="V141" s="34">
        <f t="shared" si="64"/>
        <v>325872</v>
      </c>
      <c r="W141" s="34">
        <f t="shared" si="64"/>
        <v>483552</v>
      </c>
      <c r="X141" s="34">
        <f t="shared" si="64"/>
        <v>409968</v>
      </c>
      <c r="Y141" s="34">
        <f t="shared" si="64"/>
        <v>409968</v>
      </c>
    </row>
    <row r="142" spans="1:25" x14ac:dyDescent="0.2">
      <c r="A142" s="8" t="s">
        <v>629</v>
      </c>
      <c r="B142" s="6" t="s">
        <v>630</v>
      </c>
      <c r="C142" s="6" t="s">
        <v>91</v>
      </c>
      <c r="D142" s="8" t="s">
        <v>631</v>
      </c>
      <c r="E142" s="34">
        <f t="shared" ref="E142:Y142" si="65">N_connect*IF(E113&gt;0,1,0)</f>
        <v>100</v>
      </c>
      <c r="F142" s="34">
        <f t="shared" si="65"/>
        <v>100</v>
      </c>
      <c r="G142" s="34">
        <f t="shared" si="65"/>
        <v>100</v>
      </c>
      <c r="H142" s="34">
        <f t="shared" si="65"/>
        <v>100</v>
      </c>
      <c r="I142" s="34">
        <f t="shared" si="65"/>
        <v>100</v>
      </c>
      <c r="J142" s="34">
        <f t="shared" si="65"/>
        <v>100</v>
      </c>
      <c r="K142" s="34">
        <f t="shared" si="65"/>
        <v>100</v>
      </c>
      <c r="L142" s="34">
        <f t="shared" si="65"/>
        <v>100</v>
      </c>
      <c r="M142" s="34">
        <f t="shared" si="65"/>
        <v>100</v>
      </c>
      <c r="N142" s="34">
        <f t="shared" si="65"/>
        <v>100</v>
      </c>
      <c r="O142" s="34">
        <f t="shared" si="65"/>
        <v>100</v>
      </c>
      <c r="P142" s="34">
        <f t="shared" si="65"/>
        <v>100</v>
      </c>
      <c r="Q142" s="34">
        <f t="shared" si="65"/>
        <v>100</v>
      </c>
      <c r="R142" s="34">
        <f t="shared" si="65"/>
        <v>100</v>
      </c>
      <c r="S142" s="34">
        <f t="shared" si="65"/>
        <v>100</v>
      </c>
      <c r="T142" s="34">
        <f t="shared" si="65"/>
        <v>100</v>
      </c>
      <c r="U142" s="34">
        <f t="shared" si="65"/>
        <v>100</v>
      </c>
      <c r="V142" s="34">
        <f t="shared" si="65"/>
        <v>100</v>
      </c>
      <c r="W142" s="34">
        <f t="shared" si="65"/>
        <v>100</v>
      </c>
      <c r="X142" s="34">
        <f t="shared" si="65"/>
        <v>100</v>
      </c>
      <c r="Y142" s="34">
        <f t="shared" si="65"/>
        <v>100</v>
      </c>
    </row>
    <row r="143" spans="1:25" x14ac:dyDescent="0.2">
      <c r="A143" s="8" t="s">
        <v>632</v>
      </c>
      <c r="B143" s="6" t="s">
        <v>633</v>
      </c>
      <c r="C143" s="6" t="s">
        <v>91</v>
      </c>
      <c r="D143" s="8" t="s">
        <v>884</v>
      </c>
      <c r="E143" s="34">
        <f t="shared" ref="E143:Y143" si="66">Aer_consum_per_robot*E113</f>
        <v>0</v>
      </c>
      <c r="F143" s="34">
        <f t="shared" si="66"/>
        <v>0</v>
      </c>
      <c r="G143" s="34">
        <f t="shared" si="66"/>
        <v>0</v>
      </c>
      <c r="H143" s="34">
        <f t="shared" si="66"/>
        <v>0</v>
      </c>
      <c r="I143" s="34">
        <f t="shared" si="66"/>
        <v>0</v>
      </c>
      <c r="J143" s="34">
        <f t="shared" si="66"/>
        <v>0</v>
      </c>
      <c r="K143" s="34">
        <f t="shared" si="66"/>
        <v>0</v>
      </c>
      <c r="L143" s="34">
        <f t="shared" si="66"/>
        <v>0</v>
      </c>
      <c r="M143" s="34">
        <f t="shared" si="66"/>
        <v>0</v>
      </c>
      <c r="N143" s="34">
        <f t="shared" si="66"/>
        <v>0</v>
      </c>
      <c r="O143" s="34">
        <f t="shared" si="66"/>
        <v>0</v>
      </c>
      <c r="P143" s="34">
        <f t="shared" si="66"/>
        <v>0</v>
      </c>
      <c r="Q143" s="34">
        <f t="shared" si="66"/>
        <v>0</v>
      </c>
      <c r="R143" s="34">
        <f t="shared" si="66"/>
        <v>0</v>
      </c>
      <c r="S143" s="34">
        <f t="shared" si="66"/>
        <v>0</v>
      </c>
      <c r="T143" s="34">
        <f t="shared" si="66"/>
        <v>0</v>
      </c>
      <c r="U143" s="34">
        <f t="shared" si="66"/>
        <v>0</v>
      </c>
      <c r="V143" s="34">
        <f t="shared" si="66"/>
        <v>0</v>
      </c>
      <c r="W143" s="34">
        <f t="shared" si="66"/>
        <v>0</v>
      </c>
      <c r="X143" s="34">
        <f t="shared" si="66"/>
        <v>0</v>
      </c>
      <c r="Y143" s="34">
        <f t="shared" si="66"/>
        <v>0</v>
      </c>
    </row>
    <row r="144" spans="1:25" ht="28" x14ac:dyDescent="0.2">
      <c r="A144" s="8" t="s">
        <v>635</v>
      </c>
      <c r="B144" s="6" t="s">
        <v>636</v>
      </c>
      <c r="C144" s="6" t="s">
        <v>91</v>
      </c>
      <c r="D144" s="8" t="s">
        <v>885</v>
      </c>
      <c r="E144" s="34">
        <f t="shared" ref="E144:Y144" si="67">Aer_fleet_per_shift*Aer_shifts*(1+Aer_loss_k)*Aer_fleet_sal*12*N_fot*E$67*IF(E113&gt;0,1,0)</f>
        <v>5859000</v>
      </c>
      <c r="F144" s="34">
        <f t="shared" si="67"/>
        <v>5859000</v>
      </c>
      <c r="G144" s="34">
        <f t="shared" si="67"/>
        <v>5859000</v>
      </c>
      <c r="H144" s="34">
        <f t="shared" si="67"/>
        <v>5859000</v>
      </c>
      <c r="I144" s="34">
        <f t="shared" si="67"/>
        <v>5859000</v>
      </c>
      <c r="J144" s="34">
        <f t="shared" si="67"/>
        <v>4687200</v>
      </c>
      <c r="K144" s="34">
        <f t="shared" si="67"/>
        <v>7030800</v>
      </c>
      <c r="L144" s="34">
        <f t="shared" si="67"/>
        <v>5859000</v>
      </c>
      <c r="M144" s="34">
        <f t="shared" si="67"/>
        <v>5859000</v>
      </c>
      <c r="N144" s="34">
        <f t="shared" si="67"/>
        <v>5859000</v>
      </c>
      <c r="O144" s="34">
        <f t="shared" si="67"/>
        <v>5859000</v>
      </c>
      <c r="P144" s="34">
        <f t="shared" si="67"/>
        <v>5859000</v>
      </c>
      <c r="Q144" s="34">
        <f t="shared" si="67"/>
        <v>4687200</v>
      </c>
      <c r="R144" s="34">
        <f t="shared" si="67"/>
        <v>7030800</v>
      </c>
      <c r="S144" s="34">
        <f t="shared" si="67"/>
        <v>5859000</v>
      </c>
      <c r="T144" s="34">
        <f t="shared" si="67"/>
        <v>5859000</v>
      </c>
      <c r="U144" s="34">
        <f t="shared" si="67"/>
        <v>5859000</v>
      </c>
      <c r="V144" s="34">
        <f t="shared" si="67"/>
        <v>5859000</v>
      </c>
      <c r="W144" s="34">
        <f t="shared" si="67"/>
        <v>5859000</v>
      </c>
      <c r="X144" s="34">
        <f t="shared" si="67"/>
        <v>4687200</v>
      </c>
      <c r="Y144" s="34">
        <f t="shared" si="67"/>
        <v>7030800</v>
      </c>
    </row>
    <row r="145" spans="1:25" ht="28" x14ac:dyDescent="0.2">
      <c r="A145" s="8" t="s">
        <v>638</v>
      </c>
      <c r="B145" s="6" t="s">
        <v>639</v>
      </c>
      <c r="C145" s="6" t="s">
        <v>91</v>
      </c>
      <c r="D145" s="8" t="s">
        <v>640</v>
      </c>
      <c r="E145" s="34">
        <f t="shared" ref="E145:Y145" si="68">E123*E134*N_loan_share*N_loan_rate*(N_loan_years+1)/(2*N_loan_years)</f>
        <v>0</v>
      </c>
      <c r="F145" s="34">
        <f t="shared" si="68"/>
        <v>0</v>
      </c>
      <c r="G145" s="34">
        <f t="shared" si="68"/>
        <v>0</v>
      </c>
      <c r="H145" s="34">
        <f t="shared" si="68"/>
        <v>0</v>
      </c>
      <c r="I145" s="34">
        <f t="shared" si="68"/>
        <v>0</v>
      </c>
      <c r="J145" s="34">
        <f t="shared" si="68"/>
        <v>0</v>
      </c>
      <c r="K145" s="34">
        <f t="shared" si="68"/>
        <v>0</v>
      </c>
      <c r="L145" s="34">
        <f t="shared" si="68"/>
        <v>0</v>
      </c>
      <c r="M145" s="34">
        <f t="shared" si="68"/>
        <v>0</v>
      </c>
      <c r="N145" s="34">
        <f t="shared" si="68"/>
        <v>0</v>
      </c>
      <c r="O145" s="34">
        <f t="shared" si="68"/>
        <v>0</v>
      </c>
      <c r="P145" s="34">
        <f t="shared" si="68"/>
        <v>0</v>
      </c>
      <c r="Q145" s="34">
        <f t="shared" si="68"/>
        <v>0</v>
      </c>
      <c r="R145" s="34">
        <f t="shared" si="68"/>
        <v>0</v>
      </c>
      <c r="S145" s="34">
        <f t="shared" si="68"/>
        <v>0</v>
      </c>
      <c r="T145" s="34">
        <f t="shared" si="68"/>
        <v>0</v>
      </c>
      <c r="U145" s="34">
        <f t="shared" si="68"/>
        <v>0</v>
      </c>
      <c r="V145" s="34">
        <f t="shared" si="68"/>
        <v>0</v>
      </c>
      <c r="W145" s="34">
        <f t="shared" si="68"/>
        <v>0</v>
      </c>
      <c r="X145" s="34">
        <f t="shared" si="68"/>
        <v>0</v>
      </c>
      <c r="Y145" s="34">
        <f t="shared" si="68"/>
        <v>0</v>
      </c>
    </row>
    <row r="146" spans="1:25" ht="39" x14ac:dyDescent="0.2">
      <c r="A146" s="8" t="s">
        <v>641</v>
      </c>
      <c r="B146" s="37" t="s">
        <v>642</v>
      </c>
      <c r="C146" s="6" t="s">
        <v>91</v>
      </c>
      <c r="D146" s="8" t="s">
        <v>643</v>
      </c>
      <c r="E146" s="41">
        <f t="shared" ref="E146:Y146" si="69">E137+E138+E139+E140+E141+E142+E143+E144+E145</f>
        <v>12837804</v>
      </c>
      <c r="F146" s="41">
        <f t="shared" si="69"/>
        <v>11477804</v>
      </c>
      <c r="G146" s="41">
        <f t="shared" si="69"/>
        <v>14197804</v>
      </c>
      <c r="H146" s="41">
        <f t="shared" si="69"/>
        <v>11195756</v>
      </c>
      <c r="I146" s="41">
        <f t="shared" si="69"/>
        <v>14069340</v>
      </c>
      <c r="J146" s="41">
        <f t="shared" si="69"/>
        <v>11666004</v>
      </c>
      <c r="K146" s="41">
        <f t="shared" si="69"/>
        <v>14009604</v>
      </c>
      <c r="L146" s="41">
        <f t="shared" si="69"/>
        <v>22357804</v>
      </c>
      <c r="M146" s="41">
        <f t="shared" si="69"/>
        <v>19093804</v>
      </c>
      <c r="N146" s="41">
        <f t="shared" si="69"/>
        <v>25621804</v>
      </c>
      <c r="O146" s="41">
        <f t="shared" si="69"/>
        <v>18475756</v>
      </c>
      <c r="P146" s="41">
        <f t="shared" si="69"/>
        <v>25269340</v>
      </c>
      <c r="Q146" s="41">
        <f t="shared" si="69"/>
        <v>21186004</v>
      </c>
      <c r="R146" s="41">
        <f t="shared" si="69"/>
        <v>23529604</v>
      </c>
      <c r="S146" s="41">
        <f t="shared" si="69"/>
        <v>29669068</v>
      </c>
      <c r="T146" s="41">
        <f t="shared" si="69"/>
        <v>24989068</v>
      </c>
      <c r="U146" s="41">
        <f t="shared" si="69"/>
        <v>34349068</v>
      </c>
      <c r="V146" s="41">
        <f t="shared" si="69"/>
        <v>24784972</v>
      </c>
      <c r="W146" s="41">
        <f t="shared" si="69"/>
        <v>33942652</v>
      </c>
      <c r="X146" s="41">
        <f t="shared" si="69"/>
        <v>28497268</v>
      </c>
      <c r="Y146" s="41">
        <f t="shared" si="69"/>
        <v>30840868</v>
      </c>
    </row>
    <row r="147" spans="1:25" x14ac:dyDescent="0.2">
      <c r="A147" s="26"/>
      <c r="B147" s="27" t="s">
        <v>644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28" x14ac:dyDescent="0.2">
      <c r="A148" s="8" t="s">
        <v>645</v>
      </c>
      <c r="B148" s="37" t="s">
        <v>646</v>
      </c>
      <c r="C148" s="6" t="s">
        <v>374</v>
      </c>
      <c r="D148" s="8" t="s">
        <v>886</v>
      </c>
      <c r="E148" s="42">
        <f t="shared" ref="E148:Y148" si="70">Aer_fte_target*E84*E95*E$66</f>
        <v>46.080000000000005</v>
      </c>
      <c r="F148" s="42">
        <f t="shared" si="70"/>
        <v>46.080000000000005</v>
      </c>
      <c r="G148" s="42">
        <f t="shared" si="70"/>
        <v>46.080000000000005</v>
      </c>
      <c r="H148" s="42">
        <f t="shared" si="70"/>
        <v>36.864000000000004</v>
      </c>
      <c r="I148" s="42">
        <f t="shared" si="70"/>
        <v>55.296000000000006</v>
      </c>
      <c r="J148" s="42">
        <f t="shared" si="70"/>
        <v>46.080000000000005</v>
      </c>
      <c r="K148" s="42">
        <f t="shared" si="70"/>
        <v>46.080000000000005</v>
      </c>
      <c r="L148" s="42">
        <f t="shared" si="70"/>
        <v>46.080000000000005</v>
      </c>
      <c r="M148" s="42">
        <f t="shared" si="70"/>
        <v>46.080000000000005</v>
      </c>
      <c r="N148" s="42">
        <f t="shared" si="70"/>
        <v>46.080000000000005</v>
      </c>
      <c r="O148" s="42">
        <f t="shared" si="70"/>
        <v>36.864000000000004</v>
      </c>
      <c r="P148" s="42">
        <f t="shared" si="70"/>
        <v>55.296000000000006</v>
      </c>
      <c r="Q148" s="42">
        <f t="shared" si="70"/>
        <v>46.080000000000005</v>
      </c>
      <c r="R148" s="42">
        <f t="shared" si="70"/>
        <v>46.080000000000005</v>
      </c>
      <c r="S148" s="42">
        <f t="shared" si="70"/>
        <v>46.080000000000005</v>
      </c>
      <c r="T148" s="42">
        <f t="shared" si="70"/>
        <v>46.080000000000005</v>
      </c>
      <c r="U148" s="42">
        <f t="shared" si="70"/>
        <v>46.080000000000005</v>
      </c>
      <c r="V148" s="42">
        <f t="shared" si="70"/>
        <v>36.864000000000004</v>
      </c>
      <c r="W148" s="42">
        <f t="shared" si="70"/>
        <v>55.296000000000006</v>
      </c>
      <c r="X148" s="42">
        <f t="shared" si="70"/>
        <v>46.080000000000005</v>
      </c>
      <c r="Y148" s="42">
        <f t="shared" si="70"/>
        <v>46.080000000000005</v>
      </c>
    </row>
    <row r="149" spans="1:25" ht="28" x14ac:dyDescent="0.2">
      <c r="A149" s="8" t="s">
        <v>648</v>
      </c>
      <c r="B149" s="6" t="s">
        <v>649</v>
      </c>
      <c r="C149" s="6" t="s">
        <v>91</v>
      </c>
      <c r="D149" s="8" t="s">
        <v>887</v>
      </c>
      <c r="E149" s="34">
        <f t="shared" ref="E149:Y149" si="71">Aer_labor_target*E84*E$67*E$66*E95</f>
        <v>71995392</v>
      </c>
      <c r="F149" s="34">
        <f t="shared" si="71"/>
        <v>71995392</v>
      </c>
      <c r="G149" s="34">
        <f t="shared" si="71"/>
        <v>71995392</v>
      </c>
      <c r="H149" s="34">
        <f t="shared" si="71"/>
        <v>57596313.600000001</v>
      </c>
      <c r="I149" s="34">
        <f t="shared" si="71"/>
        <v>86394470.399999991</v>
      </c>
      <c r="J149" s="34">
        <f t="shared" si="71"/>
        <v>57596313.600000001</v>
      </c>
      <c r="K149" s="34">
        <f t="shared" si="71"/>
        <v>86394470.399999991</v>
      </c>
      <c r="L149" s="34">
        <f t="shared" si="71"/>
        <v>71995392</v>
      </c>
      <c r="M149" s="34">
        <f t="shared" si="71"/>
        <v>71995392</v>
      </c>
      <c r="N149" s="34">
        <f t="shared" si="71"/>
        <v>71995392</v>
      </c>
      <c r="O149" s="34">
        <f t="shared" si="71"/>
        <v>57596313.600000001</v>
      </c>
      <c r="P149" s="34">
        <f t="shared" si="71"/>
        <v>86394470.399999991</v>
      </c>
      <c r="Q149" s="34">
        <f t="shared" si="71"/>
        <v>57596313.600000001</v>
      </c>
      <c r="R149" s="34">
        <f t="shared" si="71"/>
        <v>86394470.399999991</v>
      </c>
      <c r="S149" s="34">
        <f t="shared" si="71"/>
        <v>71995392</v>
      </c>
      <c r="T149" s="34">
        <f t="shared" si="71"/>
        <v>71995392</v>
      </c>
      <c r="U149" s="34">
        <f t="shared" si="71"/>
        <v>71995392</v>
      </c>
      <c r="V149" s="34">
        <f t="shared" si="71"/>
        <v>57596313.600000001</v>
      </c>
      <c r="W149" s="34">
        <f t="shared" si="71"/>
        <v>86394470.399999991</v>
      </c>
      <c r="X149" s="34">
        <f t="shared" si="71"/>
        <v>57596313.600000001</v>
      </c>
      <c r="Y149" s="34">
        <f t="shared" si="71"/>
        <v>86394470.399999991</v>
      </c>
    </row>
    <row r="150" spans="1:25" x14ac:dyDescent="0.2">
      <c r="A150" s="8" t="s">
        <v>651</v>
      </c>
      <c r="B150" s="6" t="s">
        <v>652</v>
      </c>
      <c r="C150" s="6" t="s">
        <v>91</v>
      </c>
      <c r="D150" s="8" t="s">
        <v>653</v>
      </c>
      <c r="E150" s="34">
        <f t="shared" ref="E150:Y150" si="72">E120-E149</f>
        <v>27998208</v>
      </c>
      <c r="F150" s="34">
        <f t="shared" si="72"/>
        <v>27998208</v>
      </c>
      <c r="G150" s="34">
        <f t="shared" si="72"/>
        <v>27998208</v>
      </c>
      <c r="H150" s="34">
        <f t="shared" si="72"/>
        <v>22398566.399999999</v>
      </c>
      <c r="I150" s="34">
        <f t="shared" si="72"/>
        <v>33597849.600000009</v>
      </c>
      <c r="J150" s="34">
        <f t="shared" si="72"/>
        <v>22398566.399999999</v>
      </c>
      <c r="K150" s="34">
        <f t="shared" si="72"/>
        <v>33597849.600000009</v>
      </c>
      <c r="L150" s="34">
        <f t="shared" si="72"/>
        <v>27998208</v>
      </c>
      <c r="M150" s="34">
        <f t="shared" si="72"/>
        <v>27998208</v>
      </c>
      <c r="N150" s="34">
        <f t="shared" si="72"/>
        <v>27998208</v>
      </c>
      <c r="O150" s="34">
        <f t="shared" si="72"/>
        <v>22398566.399999999</v>
      </c>
      <c r="P150" s="34">
        <f t="shared" si="72"/>
        <v>33597849.600000009</v>
      </c>
      <c r="Q150" s="34">
        <f t="shared" si="72"/>
        <v>22398566.399999999</v>
      </c>
      <c r="R150" s="34">
        <f t="shared" si="72"/>
        <v>33597849.600000009</v>
      </c>
      <c r="S150" s="34">
        <f t="shared" si="72"/>
        <v>27998208</v>
      </c>
      <c r="T150" s="34">
        <f t="shared" si="72"/>
        <v>27998208</v>
      </c>
      <c r="U150" s="34">
        <f t="shared" si="72"/>
        <v>27998208</v>
      </c>
      <c r="V150" s="34">
        <f t="shared" si="72"/>
        <v>22398566.399999999</v>
      </c>
      <c r="W150" s="34">
        <f t="shared" si="72"/>
        <v>33597849.600000009</v>
      </c>
      <c r="X150" s="34">
        <f t="shared" si="72"/>
        <v>22398566.399999999</v>
      </c>
      <c r="Y150" s="34">
        <f t="shared" si="72"/>
        <v>33597849.600000009</v>
      </c>
    </row>
    <row r="151" spans="1:25" ht="28" x14ac:dyDescent="0.2">
      <c r="A151" s="8" t="s">
        <v>654</v>
      </c>
      <c r="B151" s="37" t="s">
        <v>655</v>
      </c>
      <c r="C151" s="6" t="s">
        <v>91</v>
      </c>
      <c r="D151" s="8" t="s">
        <v>656</v>
      </c>
      <c r="E151" s="41">
        <f t="shared" ref="E151:Y151" si="73">E150+E146</f>
        <v>40836012</v>
      </c>
      <c r="F151" s="41">
        <f t="shared" si="73"/>
        <v>39476012</v>
      </c>
      <c r="G151" s="41">
        <f t="shared" si="73"/>
        <v>42196012</v>
      </c>
      <c r="H151" s="41">
        <f t="shared" si="73"/>
        <v>33594322.399999999</v>
      </c>
      <c r="I151" s="41">
        <f t="shared" si="73"/>
        <v>47667189.600000009</v>
      </c>
      <c r="J151" s="41">
        <f t="shared" si="73"/>
        <v>34064570.399999999</v>
      </c>
      <c r="K151" s="41">
        <f t="shared" si="73"/>
        <v>47607453.600000009</v>
      </c>
      <c r="L151" s="41">
        <f t="shared" si="73"/>
        <v>50356012</v>
      </c>
      <c r="M151" s="41">
        <f t="shared" si="73"/>
        <v>47092012</v>
      </c>
      <c r="N151" s="41">
        <f t="shared" si="73"/>
        <v>53620012</v>
      </c>
      <c r="O151" s="41">
        <f t="shared" si="73"/>
        <v>40874322.399999999</v>
      </c>
      <c r="P151" s="41">
        <f t="shared" si="73"/>
        <v>58867189.600000009</v>
      </c>
      <c r="Q151" s="41">
        <f t="shared" si="73"/>
        <v>43584570.399999999</v>
      </c>
      <c r="R151" s="41">
        <f t="shared" si="73"/>
        <v>57127453.600000009</v>
      </c>
      <c r="S151" s="41">
        <f t="shared" si="73"/>
        <v>57667276</v>
      </c>
      <c r="T151" s="41">
        <f t="shared" si="73"/>
        <v>52987276</v>
      </c>
      <c r="U151" s="41">
        <f t="shared" si="73"/>
        <v>62347276</v>
      </c>
      <c r="V151" s="41">
        <f t="shared" si="73"/>
        <v>47183538.399999999</v>
      </c>
      <c r="W151" s="41">
        <f t="shared" si="73"/>
        <v>67540501.600000009</v>
      </c>
      <c r="X151" s="41">
        <f t="shared" si="73"/>
        <v>50895834.399999999</v>
      </c>
      <c r="Y151" s="41">
        <f t="shared" si="73"/>
        <v>64438717.600000009</v>
      </c>
    </row>
    <row r="152" spans="1:25" ht="28" x14ac:dyDescent="0.2">
      <c r="A152" s="8" t="s">
        <v>657</v>
      </c>
      <c r="B152" s="37" t="s">
        <v>658</v>
      </c>
      <c r="C152" s="6" t="s">
        <v>91</v>
      </c>
      <c r="D152" s="8" t="s">
        <v>659</v>
      </c>
      <c r="E152" s="41">
        <f t="shared" ref="E152:Y152" si="74">E151-E121</f>
        <v>-59157588</v>
      </c>
      <c r="F152" s="41">
        <f t="shared" si="74"/>
        <v>-60517588</v>
      </c>
      <c r="G152" s="41">
        <f t="shared" si="74"/>
        <v>-57797588</v>
      </c>
      <c r="H152" s="41">
        <f t="shared" si="74"/>
        <v>-46400557.600000001</v>
      </c>
      <c r="I152" s="41">
        <f t="shared" si="74"/>
        <v>-72325130.399999991</v>
      </c>
      <c r="J152" s="41">
        <f t="shared" si="74"/>
        <v>-45930309.600000001</v>
      </c>
      <c r="K152" s="41">
        <f t="shared" si="74"/>
        <v>-72384866.399999991</v>
      </c>
      <c r="L152" s="41">
        <f t="shared" si="74"/>
        <v>-49637588</v>
      </c>
      <c r="M152" s="41">
        <f t="shared" si="74"/>
        <v>-52901588</v>
      </c>
      <c r="N152" s="41">
        <f t="shared" si="74"/>
        <v>-46373588</v>
      </c>
      <c r="O152" s="41">
        <f t="shared" si="74"/>
        <v>-39120557.600000001</v>
      </c>
      <c r="P152" s="41">
        <f t="shared" si="74"/>
        <v>-61125130.399999991</v>
      </c>
      <c r="Q152" s="41">
        <f t="shared" si="74"/>
        <v>-36410309.600000001</v>
      </c>
      <c r="R152" s="41">
        <f t="shared" si="74"/>
        <v>-62864866.399999991</v>
      </c>
      <c r="S152" s="41">
        <f t="shared" si="74"/>
        <v>-42326324</v>
      </c>
      <c r="T152" s="41">
        <f t="shared" si="74"/>
        <v>-47006324</v>
      </c>
      <c r="U152" s="41">
        <f t="shared" si="74"/>
        <v>-37646324</v>
      </c>
      <c r="V152" s="41">
        <f t="shared" si="74"/>
        <v>-32811341.600000001</v>
      </c>
      <c r="W152" s="41">
        <f t="shared" si="74"/>
        <v>-52451818.399999991</v>
      </c>
      <c r="X152" s="41">
        <f t="shared" si="74"/>
        <v>-29099045.600000001</v>
      </c>
      <c r="Y152" s="41">
        <f t="shared" si="74"/>
        <v>-55553602.399999991</v>
      </c>
    </row>
    <row r="153" spans="1:25" ht="28" x14ac:dyDescent="0.2">
      <c r="A153" s="8" t="s">
        <v>660</v>
      </c>
      <c r="B153" s="6" t="s">
        <v>661</v>
      </c>
      <c r="C153" s="6" t="s">
        <v>91</v>
      </c>
      <c r="D153" s="8" t="s">
        <v>888</v>
      </c>
      <c r="E153" s="34">
        <f t="shared" ref="E153:Y153" si="75">E148*Aer_turnover*N_hire_cost*Aer_sal_target*E$67</f>
        <v>1612800</v>
      </c>
      <c r="F153" s="34">
        <f t="shared" si="75"/>
        <v>1612800</v>
      </c>
      <c r="G153" s="34">
        <f t="shared" si="75"/>
        <v>1612800</v>
      </c>
      <c r="H153" s="34">
        <f t="shared" si="75"/>
        <v>1290240</v>
      </c>
      <c r="I153" s="34">
        <f t="shared" si="75"/>
        <v>1935360</v>
      </c>
      <c r="J153" s="34">
        <f t="shared" si="75"/>
        <v>1290240</v>
      </c>
      <c r="K153" s="34">
        <f t="shared" si="75"/>
        <v>1935360</v>
      </c>
      <c r="L153" s="34">
        <f t="shared" si="75"/>
        <v>1612800</v>
      </c>
      <c r="M153" s="34">
        <f t="shared" si="75"/>
        <v>1612800</v>
      </c>
      <c r="N153" s="34">
        <f t="shared" si="75"/>
        <v>1612800</v>
      </c>
      <c r="O153" s="34">
        <f t="shared" si="75"/>
        <v>1290240</v>
      </c>
      <c r="P153" s="34">
        <f t="shared" si="75"/>
        <v>1935360</v>
      </c>
      <c r="Q153" s="34">
        <f t="shared" si="75"/>
        <v>1290240</v>
      </c>
      <c r="R153" s="34">
        <f t="shared" si="75"/>
        <v>1935360</v>
      </c>
      <c r="S153" s="34">
        <f t="shared" si="75"/>
        <v>1612800</v>
      </c>
      <c r="T153" s="34">
        <f t="shared" si="75"/>
        <v>1612800</v>
      </c>
      <c r="U153" s="34">
        <f t="shared" si="75"/>
        <v>1612800</v>
      </c>
      <c r="V153" s="34">
        <f t="shared" si="75"/>
        <v>1290240</v>
      </c>
      <c r="W153" s="34">
        <f t="shared" si="75"/>
        <v>1935360</v>
      </c>
      <c r="X153" s="34">
        <f t="shared" si="75"/>
        <v>1290240</v>
      </c>
      <c r="Y153" s="34">
        <f t="shared" si="75"/>
        <v>1935360</v>
      </c>
    </row>
    <row r="154" spans="1:25" ht="28" x14ac:dyDescent="0.2">
      <c r="A154" s="8" t="s">
        <v>663</v>
      </c>
      <c r="B154" s="6" t="s">
        <v>664</v>
      </c>
      <c r="C154" s="6" t="s">
        <v>91</v>
      </c>
      <c r="D154" s="8" t="s">
        <v>889</v>
      </c>
      <c r="E154" s="34">
        <f t="shared" ref="E154:Y154" si="76">Aer_other_effects*E95</f>
        <v>0</v>
      </c>
      <c r="F154" s="34">
        <f t="shared" si="76"/>
        <v>0</v>
      </c>
      <c r="G154" s="34">
        <f t="shared" si="76"/>
        <v>0</v>
      </c>
      <c r="H154" s="34">
        <f t="shared" si="76"/>
        <v>0</v>
      </c>
      <c r="I154" s="34">
        <f t="shared" si="76"/>
        <v>0</v>
      </c>
      <c r="J154" s="34">
        <f t="shared" si="76"/>
        <v>0</v>
      </c>
      <c r="K154" s="34">
        <f t="shared" si="76"/>
        <v>0</v>
      </c>
      <c r="L154" s="34">
        <f t="shared" si="76"/>
        <v>0</v>
      </c>
      <c r="M154" s="34">
        <f t="shared" si="76"/>
        <v>0</v>
      </c>
      <c r="N154" s="34">
        <f t="shared" si="76"/>
        <v>0</v>
      </c>
      <c r="O154" s="34">
        <f t="shared" si="76"/>
        <v>0</v>
      </c>
      <c r="P154" s="34">
        <f t="shared" si="76"/>
        <v>0</v>
      </c>
      <c r="Q154" s="34">
        <f t="shared" si="76"/>
        <v>0</v>
      </c>
      <c r="R154" s="34">
        <f t="shared" si="76"/>
        <v>0</v>
      </c>
      <c r="S154" s="34">
        <f t="shared" si="76"/>
        <v>0</v>
      </c>
      <c r="T154" s="34">
        <f t="shared" si="76"/>
        <v>0</v>
      </c>
      <c r="U154" s="34">
        <f t="shared" si="76"/>
        <v>0</v>
      </c>
      <c r="V154" s="34">
        <f t="shared" si="76"/>
        <v>0</v>
      </c>
      <c r="W154" s="34">
        <f t="shared" si="76"/>
        <v>0</v>
      </c>
      <c r="X154" s="34">
        <f t="shared" si="76"/>
        <v>0</v>
      </c>
      <c r="Y154" s="34">
        <f t="shared" si="76"/>
        <v>0</v>
      </c>
    </row>
    <row r="155" spans="1:25" ht="28" x14ac:dyDescent="0.2">
      <c r="A155" s="8" t="s">
        <v>666</v>
      </c>
      <c r="B155" s="37" t="s">
        <v>667</v>
      </c>
      <c r="C155" s="6" t="s">
        <v>91</v>
      </c>
      <c r="D155" s="8" t="s">
        <v>668</v>
      </c>
      <c r="E155" s="41">
        <f t="shared" ref="E155:Y155" si="77">E121-E151+E153+E154</f>
        <v>60770388</v>
      </c>
      <c r="F155" s="41">
        <f t="shared" si="77"/>
        <v>62130388</v>
      </c>
      <c r="G155" s="41">
        <f t="shared" si="77"/>
        <v>59410388</v>
      </c>
      <c r="H155" s="41">
        <f t="shared" si="77"/>
        <v>47690797.600000001</v>
      </c>
      <c r="I155" s="41">
        <f t="shared" si="77"/>
        <v>74260490.399999991</v>
      </c>
      <c r="J155" s="41">
        <f t="shared" si="77"/>
        <v>47220549.600000001</v>
      </c>
      <c r="K155" s="41">
        <f t="shared" si="77"/>
        <v>74320226.399999991</v>
      </c>
      <c r="L155" s="41">
        <f t="shared" si="77"/>
        <v>51250388</v>
      </c>
      <c r="M155" s="41">
        <f t="shared" si="77"/>
        <v>54514388</v>
      </c>
      <c r="N155" s="41">
        <f t="shared" si="77"/>
        <v>47986388</v>
      </c>
      <c r="O155" s="41">
        <f t="shared" si="77"/>
        <v>40410797.600000001</v>
      </c>
      <c r="P155" s="41">
        <f t="shared" si="77"/>
        <v>63060490.399999991</v>
      </c>
      <c r="Q155" s="41">
        <f t="shared" si="77"/>
        <v>37700549.600000001</v>
      </c>
      <c r="R155" s="41">
        <f t="shared" si="77"/>
        <v>64800226.399999991</v>
      </c>
      <c r="S155" s="41">
        <f t="shared" si="77"/>
        <v>43939124</v>
      </c>
      <c r="T155" s="41">
        <f t="shared" si="77"/>
        <v>48619124</v>
      </c>
      <c r="U155" s="41">
        <f t="shared" si="77"/>
        <v>39259124</v>
      </c>
      <c r="V155" s="41">
        <f t="shared" si="77"/>
        <v>34101581.600000001</v>
      </c>
      <c r="W155" s="41">
        <f t="shared" si="77"/>
        <v>54387178.399999991</v>
      </c>
      <c r="X155" s="41">
        <f t="shared" si="77"/>
        <v>30389285.600000001</v>
      </c>
      <c r="Y155" s="41">
        <f t="shared" si="77"/>
        <v>57488962.399999991</v>
      </c>
    </row>
    <row r="156" spans="1:25" x14ac:dyDescent="0.2">
      <c r="A156" s="8" t="s">
        <v>669</v>
      </c>
      <c r="B156" s="6" t="s">
        <v>670</v>
      </c>
      <c r="C156" s="6" t="s">
        <v>91</v>
      </c>
      <c r="D156" s="8" t="s">
        <v>671</v>
      </c>
      <c r="E156" s="34">
        <f t="shared" ref="E156:Y156" si="78">E134/N_life*E123</f>
        <v>10429045</v>
      </c>
      <c r="F156" s="34">
        <f t="shared" si="78"/>
        <v>8409445</v>
      </c>
      <c r="G156" s="34">
        <f t="shared" si="78"/>
        <v>12448645</v>
      </c>
      <c r="H156" s="34">
        <f t="shared" si="78"/>
        <v>8052825</v>
      </c>
      <c r="I156" s="34">
        <f t="shared" si="78"/>
        <v>12211155</v>
      </c>
      <c r="J156" s="34">
        <f t="shared" si="78"/>
        <v>10429045</v>
      </c>
      <c r="K156" s="34">
        <f t="shared" si="78"/>
        <v>10429045</v>
      </c>
      <c r="L156" s="34">
        <f t="shared" si="78"/>
        <v>0</v>
      </c>
      <c r="M156" s="34">
        <f t="shared" si="78"/>
        <v>0</v>
      </c>
      <c r="N156" s="34">
        <f t="shared" si="78"/>
        <v>0</v>
      </c>
      <c r="O156" s="34">
        <f t="shared" si="78"/>
        <v>0</v>
      </c>
      <c r="P156" s="34">
        <f t="shared" si="78"/>
        <v>0</v>
      </c>
      <c r="Q156" s="34">
        <f t="shared" si="78"/>
        <v>0</v>
      </c>
      <c r="R156" s="34">
        <f t="shared" si="78"/>
        <v>0</v>
      </c>
      <c r="S156" s="34">
        <f t="shared" si="78"/>
        <v>35081255</v>
      </c>
      <c r="T156" s="34">
        <f t="shared" si="78"/>
        <v>28131455</v>
      </c>
      <c r="U156" s="34">
        <f t="shared" si="78"/>
        <v>42031055</v>
      </c>
      <c r="V156" s="34">
        <f t="shared" si="78"/>
        <v>27952815</v>
      </c>
      <c r="W156" s="34">
        <f t="shared" si="78"/>
        <v>41318585</v>
      </c>
      <c r="X156" s="34">
        <f t="shared" si="78"/>
        <v>35081255</v>
      </c>
      <c r="Y156" s="34">
        <f t="shared" si="78"/>
        <v>35081255</v>
      </c>
    </row>
    <row r="157" spans="1:25" x14ac:dyDescent="0.2">
      <c r="A157" s="8" t="s">
        <v>672</v>
      </c>
      <c r="B157" s="37" t="s">
        <v>673</v>
      </c>
      <c r="C157" s="6" t="s">
        <v>91</v>
      </c>
      <c r="D157" s="8" t="s">
        <v>674</v>
      </c>
      <c r="E157" s="41">
        <f t="shared" ref="E157:Y157" si="79">E155-E156</f>
        <v>50341343</v>
      </c>
      <c r="F157" s="41">
        <f t="shared" si="79"/>
        <v>53720943</v>
      </c>
      <c r="G157" s="41">
        <f t="shared" si="79"/>
        <v>46961743</v>
      </c>
      <c r="H157" s="41">
        <f t="shared" si="79"/>
        <v>39637972.600000001</v>
      </c>
      <c r="I157" s="41">
        <f t="shared" si="79"/>
        <v>62049335.399999991</v>
      </c>
      <c r="J157" s="41">
        <f t="shared" si="79"/>
        <v>36791504.600000001</v>
      </c>
      <c r="K157" s="41">
        <f t="shared" si="79"/>
        <v>63891181.399999991</v>
      </c>
      <c r="L157" s="41">
        <f t="shared" si="79"/>
        <v>51250388</v>
      </c>
      <c r="M157" s="41">
        <f t="shared" si="79"/>
        <v>54514388</v>
      </c>
      <c r="N157" s="41">
        <f t="shared" si="79"/>
        <v>47986388</v>
      </c>
      <c r="O157" s="41">
        <f t="shared" si="79"/>
        <v>40410797.600000001</v>
      </c>
      <c r="P157" s="41">
        <f t="shared" si="79"/>
        <v>63060490.399999991</v>
      </c>
      <c r="Q157" s="41">
        <f t="shared" si="79"/>
        <v>37700549.600000001</v>
      </c>
      <c r="R157" s="41">
        <f t="shared" si="79"/>
        <v>64800226.399999991</v>
      </c>
      <c r="S157" s="41">
        <f t="shared" si="79"/>
        <v>8857869</v>
      </c>
      <c r="T157" s="41">
        <f t="shared" si="79"/>
        <v>20487669</v>
      </c>
      <c r="U157" s="41">
        <f t="shared" si="79"/>
        <v>-2771931</v>
      </c>
      <c r="V157" s="41">
        <f t="shared" si="79"/>
        <v>6148766.6000000015</v>
      </c>
      <c r="W157" s="41">
        <f t="shared" si="79"/>
        <v>13068593.399999991</v>
      </c>
      <c r="X157" s="41">
        <f t="shared" si="79"/>
        <v>-4691969.3999999985</v>
      </c>
      <c r="Y157" s="41">
        <f t="shared" si="79"/>
        <v>22407707.399999991</v>
      </c>
    </row>
    <row r="158" spans="1:25" ht="26" x14ac:dyDescent="0.2">
      <c r="A158" s="8" t="s">
        <v>675</v>
      </c>
      <c r="B158" s="37" t="s">
        <v>676</v>
      </c>
      <c r="C158" s="6" t="s">
        <v>85</v>
      </c>
      <c r="D158" s="8" t="s">
        <v>677</v>
      </c>
      <c r="E158" s="42">
        <f t="shared" ref="E158:Y158" si="80">IF(AND(E95=1,E155&gt;0),E134/E155,"не окупается")</f>
        <v>1.7161392815198087</v>
      </c>
      <c r="F158" s="42">
        <f t="shared" si="80"/>
        <v>1.3535156097850218</v>
      </c>
      <c r="G158" s="42">
        <f t="shared" si="80"/>
        <v>2.095365039528104</v>
      </c>
      <c r="H158" s="42">
        <f t="shared" si="80"/>
        <v>1.6885490294253329</v>
      </c>
      <c r="I158" s="42">
        <f t="shared" si="80"/>
        <v>1.6443676757620769</v>
      </c>
      <c r="J158" s="42">
        <f t="shared" si="80"/>
        <v>2.2085818755485218</v>
      </c>
      <c r="K158" s="42">
        <f t="shared" si="80"/>
        <v>1.4032579696231928</v>
      </c>
      <c r="L158" s="42">
        <f t="shared" si="80"/>
        <v>0.35630071717700945</v>
      </c>
      <c r="M158" s="42">
        <f t="shared" si="80"/>
        <v>0.28008293883809171</v>
      </c>
      <c r="N158" s="42">
        <f t="shared" si="80"/>
        <v>0.4428870537203175</v>
      </c>
      <c r="O158" s="42">
        <f t="shared" si="80"/>
        <v>0.36476760854628615</v>
      </c>
      <c r="P158" s="42">
        <f t="shared" si="80"/>
        <v>0.33143652812443086</v>
      </c>
      <c r="Q158" s="42">
        <f t="shared" si="80"/>
        <v>0.48435766039866962</v>
      </c>
      <c r="R158" s="42">
        <f t="shared" si="80"/>
        <v>0.28179762655890972</v>
      </c>
      <c r="S158" s="42">
        <f t="shared" si="80"/>
        <v>7.9840588082730095</v>
      </c>
      <c r="T158" s="42">
        <f t="shared" si="80"/>
        <v>5.7860884124526804</v>
      </c>
      <c r="U158" s="42">
        <f t="shared" si="80"/>
        <v>10.706060328804076</v>
      </c>
      <c r="V158" s="42">
        <f t="shared" si="80"/>
        <v>8.1969262680766679</v>
      </c>
      <c r="W158" s="42">
        <f t="shared" si="80"/>
        <v>7.5971186988439188</v>
      </c>
      <c r="X158" s="42">
        <f t="shared" si="80"/>
        <v>11.543955149771602</v>
      </c>
      <c r="Y158" s="42">
        <f t="shared" si="80"/>
        <v>6.1022592051513538</v>
      </c>
    </row>
    <row r="159" spans="1:25" x14ac:dyDescent="0.2">
      <c r="A159" s="8" t="s">
        <v>678</v>
      </c>
      <c r="B159" s="6" t="s">
        <v>679</v>
      </c>
      <c r="C159" s="6" t="s">
        <v>85</v>
      </c>
      <c r="D159" s="8" t="s">
        <v>788</v>
      </c>
      <c r="E159" s="35">
        <f t="shared" ref="E159:Y159" si="81">Aer_horizon</f>
        <v>7</v>
      </c>
      <c r="F159" s="35">
        <f t="shared" si="81"/>
        <v>7</v>
      </c>
      <c r="G159" s="35">
        <f t="shared" si="81"/>
        <v>7</v>
      </c>
      <c r="H159" s="35">
        <f t="shared" si="81"/>
        <v>7</v>
      </c>
      <c r="I159" s="35">
        <f t="shared" si="81"/>
        <v>7</v>
      </c>
      <c r="J159" s="35">
        <f t="shared" si="81"/>
        <v>7</v>
      </c>
      <c r="K159" s="35">
        <f t="shared" si="81"/>
        <v>7</v>
      </c>
      <c r="L159" s="35">
        <f t="shared" si="81"/>
        <v>7</v>
      </c>
      <c r="M159" s="35">
        <f t="shared" si="81"/>
        <v>7</v>
      </c>
      <c r="N159" s="35">
        <f t="shared" si="81"/>
        <v>7</v>
      </c>
      <c r="O159" s="35">
        <f t="shared" si="81"/>
        <v>7</v>
      </c>
      <c r="P159" s="35">
        <f t="shared" si="81"/>
        <v>7</v>
      </c>
      <c r="Q159" s="35">
        <f t="shared" si="81"/>
        <v>7</v>
      </c>
      <c r="R159" s="35">
        <f t="shared" si="81"/>
        <v>7</v>
      </c>
      <c r="S159" s="35">
        <f t="shared" si="81"/>
        <v>7</v>
      </c>
      <c r="T159" s="35">
        <f t="shared" si="81"/>
        <v>7</v>
      </c>
      <c r="U159" s="35">
        <f t="shared" si="81"/>
        <v>7</v>
      </c>
      <c r="V159" s="35">
        <f t="shared" si="81"/>
        <v>7</v>
      </c>
      <c r="W159" s="35">
        <f t="shared" si="81"/>
        <v>7</v>
      </c>
      <c r="X159" s="35">
        <f t="shared" si="81"/>
        <v>7</v>
      </c>
      <c r="Y159" s="35">
        <f t="shared" si="81"/>
        <v>7</v>
      </c>
    </row>
    <row r="160" spans="1:25" x14ac:dyDescent="0.2">
      <c r="A160" s="8" t="s">
        <v>680</v>
      </c>
      <c r="B160" s="6" t="s">
        <v>681</v>
      </c>
      <c r="C160" s="6" t="s">
        <v>548</v>
      </c>
      <c r="D160" s="8" t="s">
        <v>682</v>
      </c>
      <c r="E160" s="35">
        <f t="shared" ref="E160:Y160" si="82">E123*INT((E159-1)/N_battery_life)</f>
        <v>1</v>
      </c>
      <c r="F160" s="35">
        <f t="shared" si="82"/>
        <v>1</v>
      </c>
      <c r="G160" s="35">
        <f t="shared" si="82"/>
        <v>1</v>
      </c>
      <c r="H160" s="35">
        <f t="shared" si="82"/>
        <v>1</v>
      </c>
      <c r="I160" s="35">
        <f t="shared" si="82"/>
        <v>1</v>
      </c>
      <c r="J160" s="35">
        <f t="shared" si="82"/>
        <v>1</v>
      </c>
      <c r="K160" s="35">
        <f t="shared" si="82"/>
        <v>1</v>
      </c>
      <c r="L160" s="35">
        <f t="shared" si="82"/>
        <v>0</v>
      </c>
      <c r="M160" s="35">
        <f t="shared" si="82"/>
        <v>0</v>
      </c>
      <c r="N160" s="35">
        <f t="shared" si="82"/>
        <v>0</v>
      </c>
      <c r="O160" s="35">
        <f t="shared" si="82"/>
        <v>0</v>
      </c>
      <c r="P160" s="35">
        <f t="shared" si="82"/>
        <v>0</v>
      </c>
      <c r="Q160" s="35">
        <f t="shared" si="82"/>
        <v>0</v>
      </c>
      <c r="R160" s="35">
        <f t="shared" si="82"/>
        <v>0</v>
      </c>
      <c r="S160" s="35">
        <f t="shared" si="82"/>
        <v>1</v>
      </c>
      <c r="T160" s="35">
        <f t="shared" si="82"/>
        <v>1</v>
      </c>
      <c r="U160" s="35">
        <f t="shared" si="82"/>
        <v>1</v>
      </c>
      <c r="V160" s="35">
        <f t="shared" si="82"/>
        <v>1</v>
      </c>
      <c r="W160" s="35">
        <f t="shared" si="82"/>
        <v>1</v>
      </c>
      <c r="X160" s="35">
        <f t="shared" si="82"/>
        <v>1</v>
      </c>
      <c r="Y160" s="35">
        <f t="shared" si="82"/>
        <v>1</v>
      </c>
    </row>
    <row r="161" spans="1:25" x14ac:dyDescent="0.2">
      <c r="A161" s="8" t="s">
        <v>683</v>
      </c>
      <c r="B161" s="6" t="s">
        <v>684</v>
      </c>
      <c r="C161" s="6" t="s">
        <v>51</v>
      </c>
      <c r="D161" s="8" t="s">
        <v>685</v>
      </c>
      <c r="E161" s="34">
        <f t="shared" ref="E161:Y161" si="83">E124*N_battery_share</f>
        <v>6800000</v>
      </c>
      <c r="F161" s="34">
        <f t="shared" si="83"/>
        <v>5440000</v>
      </c>
      <c r="G161" s="34">
        <f t="shared" si="83"/>
        <v>8160000</v>
      </c>
      <c r="H161" s="34">
        <f t="shared" si="83"/>
        <v>5200000</v>
      </c>
      <c r="I161" s="34">
        <f t="shared" si="83"/>
        <v>8000000</v>
      </c>
      <c r="J161" s="34">
        <f t="shared" si="83"/>
        <v>6800000</v>
      </c>
      <c r="K161" s="34">
        <f t="shared" si="83"/>
        <v>6800000</v>
      </c>
      <c r="L161" s="34">
        <f t="shared" si="83"/>
        <v>0</v>
      </c>
      <c r="M161" s="34">
        <f t="shared" si="83"/>
        <v>0</v>
      </c>
      <c r="N161" s="34">
        <f t="shared" si="83"/>
        <v>0</v>
      </c>
      <c r="O161" s="34">
        <f t="shared" si="83"/>
        <v>0</v>
      </c>
      <c r="P161" s="34">
        <f t="shared" si="83"/>
        <v>0</v>
      </c>
      <c r="Q161" s="34">
        <f t="shared" si="83"/>
        <v>0</v>
      </c>
      <c r="R161" s="34">
        <f t="shared" si="83"/>
        <v>0</v>
      </c>
      <c r="S161" s="34">
        <f t="shared" si="83"/>
        <v>23400000</v>
      </c>
      <c r="T161" s="34">
        <f t="shared" si="83"/>
        <v>18720000</v>
      </c>
      <c r="U161" s="34">
        <f t="shared" si="83"/>
        <v>28080000</v>
      </c>
      <c r="V161" s="34">
        <f t="shared" si="83"/>
        <v>18600000</v>
      </c>
      <c r="W161" s="34">
        <f t="shared" si="83"/>
        <v>27600000</v>
      </c>
      <c r="X161" s="34">
        <f t="shared" si="83"/>
        <v>23400000</v>
      </c>
      <c r="Y161" s="34">
        <f t="shared" si="83"/>
        <v>23400000</v>
      </c>
    </row>
    <row r="162" spans="1:25" x14ac:dyDescent="0.2">
      <c r="A162" s="8" t="s">
        <v>686</v>
      </c>
      <c r="B162" s="6" t="s">
        <v>687</v>
      </c>
      <c r="C162" s="6" t="s">
        <v>51</v>
      </c>
      <c r="D162" s="8" t="s">
        <v>688</v>
      </c>
      <c r="E162" s="34">
        <f t="shared" ref="E162:Y162" si="84">E155*E159-E160*E161</f>
        <v>418592716</v>
      </c>
      <c r="F162" s="34">
        <f t="shared" si="84"/>
        <v>429472716</v>
      </c>
      <c r="G162" s="34">
        <f t="shared" si="84"/>
        <v>407712716</v>
      </c>
      <c r="H162" s="34">
        <f t="shared" si="84"/>
        <v>328635583.19999999</v>
      </c>
      <c r="I162" s="34">
        <f t="shared" si="84"/>
        <v>511823432.79999995</v>
      </c>
      <c r="J162" s="34">
        <f t="shared" si="84"/>
        <v>323743847.19999999</v>
      </c>
      <c r="K162" s="34">
        <f t="shared" si="84"/>
        <v>513441584.79999995</v>
      </c>
      <c r="L162" s="34">
        <f t="shared" si="84"/>
        <v>358752716</v>
      </c>
      <c r="M162" s="34">
        <f t="shared" si="84"/>
        <v>381600716</v>
      </c>
      <c r="N162" s="34">
        <f t="shared" si="84"/>
        <v>335904716</v>
      </c>
      <c r="O162" s="34">
        <f t="shared" si="84"/>
        <v>282875583.19999999</v>
      </c>
      <c r="P162" s="34">
        <f t="shared" si="84"/>
        <v>441423432.79999995</v>
      </c>
      <c r="Q162" s="34">
        <f t="shared" si="84"/>
        <v>263903847.20000002</v>
      </c>
      <c r="R162" s="34">
        <f t="shared" si="84"/>
        <v>453601584.79999995</v>
      </c>
      <c r="S162" s="34">
        <f t="shared" si="84"/>
        <v>284173868</v>
      </c>
      <c r="T162" s="34">
        <f t="shared" si="84"/>
        <v>321613868</v>
      </c>
      <c r="U162" s="34">
        <f t="shared" si="84"/>
        <v>246733868</v>
      </c>
      <c r="V162" s="34">
        <f t="shared" si="84"/>
        <v>220111071.20000002</v>
      </c>
      <c r="W162" s="34">
        <f t="shared" si="84"/>
        <v>353110248.79999995</v>
      </c>
      <c r="X162" s="34">
        <f t="shared" si="84"/>
        <v>189324999.20000002</v>
      </c>
      <c r="Y162" s="34">
        <f t="shared" si="84"/>
        <v>379022736.79999995</v>
      </c>
    </row>
    <row r="163" spans="1:25" x14ac:dyDescent="0.2">
      <c r="A163" s="8" t="s">
        <v>689</v>
      </c>
      <c r="B163" s="37" t="s">
        <v>690</v>
      </c>
      <c r="C163" s="6" t="s">
        <v>558</v>
      </c>
      <c r="D163" s="8" t="s">
        <v>691</v>
      </c>
      <c r="E163" s="43">
        <f t="shared" ref="E163:Y163" si="85">IF(E134&gt;0,E162/E134,"—")</f>
        <v>4.0137204892681932</v>
      </c>
      <c r="F163" s="43">
        <f t="shared" si="85"/>
        <v>5.1070280618994479</v>
      </c>
      <c r="G163" s="43">
        <f t="shared" si="85"/>
        <v>3.2751573845988862</v>
      </c>
      <c r="H163" s="43">
        <f t="shared" si="85"/>
        <v>4.080997453688612</v>
      </c>
      <c r="I163" s="43">
        <f t="shared" si="85"/>
        <v>4.1914416187494137</v>
      </c>
      <c r="J163" s="43">
        <f t="shared" si="85"/>
        <v>3.1042520882784568</v>
      </c>
      <c r="K163" s="43">
        <f t="shared" si="85"/>
        <v>4.9231888902579284</v>
      </c>
      <c r="L163" s="43">
        <f t="shared" si="85"/>
        <v>19.64632587736952</v>
      </c>
      <c r="M163" s="43">
        <f t="shared" si="85"/>
        <v>24.992596939460526</v>
      </c>
      <c r="N163" s="43">
        <f t="shared" si="85"/>
        <v>15.805384106848354</v>
      </c>
      <c r="O163" s="43">
        <f t="shared" si="85"/>
        <v>19.19030044333488</v>
      </c>
      <c r="P163" s="43">
        <f t="shared" si="85"/>
        <v>21.120182617203852</v>
      </c>
      <c r="Q163" s="43">
        <f t="shared" si="85"/>
        <v>14.4521302589462</v>
      </c>
      <c r="R163" s="43">
        <f t="shared" si="85"/>
        <v>24.840521495792842</v>
      </c>
      <c r="S163" s="43">
        <f t="shared" si="85"/>
        <v>0.81004476037131512</v>
      </c>
      <c r="T163" s="43">
        <f t="shared" si="85"/>
        <v>1.1432535857103729</v>
      </c>
      <c r="U163" s="43">
        <f t="shared" si="85"/>
        <v>0.5870275395181016</v>
      </c>
      <c r="V163" s="43">
        <f t="shared" si="85"/>
        <v>0.78743794211781537</v>
      </c>
      <c r="W163" s="43">
        <f t="shared" si="85"/>
        <v>0.85460392411792407</v>
      </c>
      <c r="X163" s="43">
        <f t="shared" si="85"/>
        <v>0.53967567351852153</v>
      </c>
      <c r="Y163" s="43">
        <f t="shared" si="85"/>
        <v>1.0804138472241085</v>
      </c>
    </row>
    <row r="164" spans="1:25" ht="26" x14ac:dyDescent="0.2">
      <c r="A164" s="8" t="s">
        <v>692</v>
      </c>
      <c r="B164" s="37" t="s">
        <v>693</v>
      </c>
      <c r="C164" s="6" t="s">
        <v>51</v>
      </c>
      <c r="D164" s="8" t="s">
        <v>694</v>
      </c>
      <c r="E164" s="41">
        <f t="shared" ref="E164:Y164" si="86">E134+E146*E159+E160*E161</f>
        <v>200955078</v>
      </c>
      <c r="F164" s="41">
        <f t="shared" si="86"/>
        <v>169879078</v>
      </c>
      <c r="G164" s="41">
        <f t="shared" si="86"/>
        <v>232031078</v>
      </c>
      <c r="H164" s="41">
        <f t="shared" si="86"/>
        <v>164098542</v>
      </c>
      <c r="I164" s="41">
        <f t="shared" si="86"/>
        <v>228596930</v>
      </c>
      <c r="J164" s="41">
        <f t="shared" si="86"/>
        <v>192752478</v>
      </c>
      <c r="K164" s="41">
        <f t="shared" si="86"/>
        <v>209157678</v>
      </c>
      <c r="L164" s="41">
        <f t="shared" si="86"/>
        <v>174765178</v>
      </c>
      <c r="M164" s="41">
        <f t="shared" si="86"/>
        <v>148925178</v>
      </c>
      <c r="N164" s="41">
        <f t="shared" si="86"/>
        <v>200605178</v>
      </c>
      <c r="O164" s="41">
        <f t="shared" si="86"/>
        <v>144070842</v>
      </c>
      <c r="P164" s="41">
        <f t="shared" si="86"/>
        <v>197785930</v>
      </c>
      <c r="Q164" s="41">
        <f t="shared" si="86"/>
        <v>166562578</v>
      </c>
      <c r="R164" s="41">
        <f t="shared" si="86"/>
        <v>182967778</v>
      </c>
      <c r="S164" s="41">
        <f t="shared" si="86"/>
        <v>581896026</v>
      </c>
      <c r="T164" s="41">
        <f t="shared" si="86"/>
        <v>474958026</v>
      </c>
      <c r="U164" s="41">
        <f t="shared" si="86"/>
        <v>688834026</v>
      </c>
      <c r="V164" s="41">
        <f t="shared" si="86"/>
        <v>471622954</v>
      </c>
      <c r="W164" s="41">
        <f t="shared" si="86"/>
        <v>678384414</v>
      </c>
      <c r="X164" s="41">
        <f t="shared" si="86"/>
        <v>573693426</v>
      </c>
      <c r="Y164" s="41">
        <f t="shared" si="86"/>
        <v>590098626</v>
      </c>
    </row>
    <row r="165" spans="1:25" x14ac:dyDescent="0.2">
      <c r="A165" s="8" t="s">
        <v>695</v>
      </c>
      <c r="B165" s="6" t="s">
        <v>696</v>
      </c>
      <c r="C165" s="6" t="s">
        <v>51</v>
      </c>
      <c r="D165" s="8" t="s">
        <v>697</v>
      </c>
      <c r="E165" s="34">
        <f t="shared" ref="E165:Y165" si="87">E121*E159</f>
        <v>699955200</v>
      </c>
      <c r="F165" s="34">
        <f t="shared" si="87"/>
        <v>699955200</v>
      </c>
      <c r="G165" s="34">
        <f t="shared" si="87"/>
        <v>699955200</v>
      </c>
      <c r="H165" s="34">
        <f t="shared" si="87"/>
        <v>559964160</v>
      </c>
      <c r="I165" s="34">
        <f t="shared" si="87"/>
        <v>839946240</v>
      </c>
      <c r="J165" s="34">
        <f t="shared" si="87"/>
        <v>559964160</v>
      </c>
      <c r="K165" s="34">
        <f t="shared" si="87"/>
        <v>839946240</v>
      </c>
      <c r="L165" s="34">
        <f t="shared" si="87"/>
        <v>699955200</v>
      </c>
      <c r="M165" s="34">
        <f t="shared" si="87"/>
        <v>699955200</v>
      </c>
      <c r="N165" s="34">
        <f t="shared" si="87"/>
        <v>699955200</v>
      </c>
      <c r="O165" s="34">
        <f t="shared" si="87"/>
        <v>559964160</v>
      </c>
      <c r="P165" s="34">
        <f t="shared" si="87"/>
        <v>839946240</v>
      </c>
      <c r="Q165" s="34">
        <f t="shared" si="87"/>
        <v>559964160</v>
      </c>
      <c r="R165" s="34">
        <f t="shared" si="87"/>
        <v>839946240</v>
      </c>
      <c r="S165" s="34">
        <f t="shared" si="87"/>
        <v>699955200</v>
      </c>
      <c r="T165" s="34">
        <f t="shared" si="87"/>
        <v>699955200</v>
      </c>
      <c r="U165" s="34">
        <f t="shared" si="87"/>
        <v>699955200</v>
      </c>
      <c r="V165" s="34">
        <f t="shared" si="87"/>
        <v>559964160</v>
      </c>
      <c r="W165" s="34">
        <f t="shared" si="87"/>
        <v>839946240</v>
      </c>
      <c r="X165" s="34">
        <f t="shared" si="87"/>
        <v>559964160</v>
      </c>
      <c r="Y165" s="34">
        <f t="shared" si="87"/>
        <v>839946240</v>
      </c>
    </row>
    <row r="166" spans="1:25" ht="28" x14ac:dyDescent="0.2">
      <c r="A166" s="8" t="s">
        <v>698</v>
      </c>
      <c r="B166" s="37" t="s">
        <v>699</v>
      </c>
      <c r="C166" s="6" t="s">
        <v>51</v>
      </c>
      <c r="D166" s="8" t="s">
        <v>700</v>
      </c>
      <c r="E166" s="41">
        <f t="shared" ref="E166:Y166" si="88">E134+E151*E159+E160*E161</f>
        <v>396942534</v>
      </c>
      <c r="F166" s="41">
        <f t="shared" si="88"/>
        <v>365866534</v>
      </c>
      <c r="G166" s="41">
        <f t="shared" si="88"/>
        <v>428018534</v>
      </c>
      <c r="H166" s="41">
        <f t="shared" si="88"/>
        <v>320888506.79999995</v>
      </c>
      <c r="I166" s="41">
        <f t="shared" si="88"/>
        <v>463781877.20000005</v>
      </c>
      <c r="J166" s="41">
        <f t="shared" si="88"/>
        <v>349542442.79999995</v>
      </c>
      <c r="K166" s="41">
        <f t="shared" si="88"/>
        <v>444342625.20000005</v>
      </c>
      <c r="L166" s="41">
        <f t="shared" si="88"/>
        <v>370752634</v>
      </c>
      <c r="M166" s="41">
        <f t="shared" si="88"/>
        <v>344912634</v>
      </c>
      <c r="N166" s="41">
        <f t="shared" si="88"/>
        <v>396592634</v>
      </c>
      <c r="O166" s="41">
        <f t="shared" si="88"/>
        <v>300860806.80000001</v>
      </c>
      <c r="P166" s="41">
        <f t="shared" si="88"/>
        <v>432970877.20000005</v>
      </c>
      <c r="Q166" s="41">
        <f t="shared" si="88"/>
        <v>323352542.80000001</v>
      </c>
      <c r="R166" s="41">
        <f t="shared" si="88"/>
        <v>418152725.20000005</v>
      </c>
      <c r="S166" s="41">
        <f t="shared" si="88"/>
        <v>777883482</v>
      </c>
      <c r="T166" s="41">
        <f t="shared" si="88"/>
        <v>670945482</v>
      </c>
      <c r="U166" s="41">
        <f t="shared" si="88"/>
        <v>884821482</v>
      </c>
      <c r="V166" s="41">
        <f t="shared" si="88"/>
        <v>628412918.79999995</v>
      </c>
      <c r="W166" s="41">
        <f t="shared" si="88"/>
        <v>913569361.20000005</v>
      </c>
      <c r="X166" s="41">
        <f t="shared" si="88"/>
        <v>730483390.79999995</v>
      </c>
      <c r="Y166" s="41">
        <f t="shared" si="88"/>
        <v>825283573.20000005</v>
      </c>
    </row>
    <row r="167" spans="1:25" x14ac:dyDescent="0.2">
      <c r="A167" s="8" t="s">
        <v>701</v>
      </c>
      <c r="B167" s="37" t="s">
        <v>702</v>
      </c>
      <c r="C167" s="6" t="s">
        <v>51</v>
      </c>
      <c r="D167" s="8" t="s">
        <v>703</v>
      </c>
      <c r="E167" s="41">
        <f t="shared" ref="E167:Y167" si="89">E166-E165</f>
        <v>-303012666</v>
      </c>
      <c r="F167" s="41">
        <f t="shared" si="89"/>
        <v>-334088666</v>
      </c>
      <c r="G167" s="41">
        <f t="shared" si="89"/>
        <v>-271936666</v>
      </c>
      <c r="H167" s="41">
        <f t="shared" si="89"/>
        <v>-239075653.20000005</v>
      </c>
      <c r="I167" s="41">
        <f t="shared" si="89"/>
        <v>-376164362.79999995</v>
      </c>
      <c r="J167" s="41">
        <f t="shared" si="89"/>
        <v>-210421717.20000005</v>
      </c>
      <c r="K167" s="41">
        <f t="shared" si="89"/>
        <v>-395603614.79999995</v>
      </c>
      <c r="L167" s="41">
        <f t="shared" si="89"/>
        <v>-329202566</v>
      </c>
      <c r="M167" s="41">
        <f t="shared" si="89"/>
        <v>-355042566</v>
      </c>
      <c r="N167" s="41">
        <f t="shared" si="89"/>
        <v>-303362566</v>
      </c>
      <c r="O167" s="41">
        <f t="shared" si="89"/>
        <v>-259103353.19999999</v>
      </c>
      <c r="P167" s="41">
        <f t="shared" si="89"/>
        <v>-406975362.79999995</v>
      </c>
      <c r="Q167" s="41">
        <f t="shared" si="89"/>
        <v>-236611617.19999999</v>
      </c>
      <c r="R167" s="41">
        <f t="shared" si="89"/>
        <v>-421793514.79999995</v>
      </c>
      <c r="S167" s="41">
        <f t="shared" si="89"/>
        <v>77928282</v>
      </c>
      <c r="T167" s="41">
        <f t="shared" si="89"/>
        <v>-29009718</v>
      </c>
      <c r="U167" s="41">
        <f t="shared" si="89"/>
        <v>184866282</v>
      </c>
      <c r="V167" s="41">
        <f t="shared" si="89"/>
        <v>68448758.799999952</v>
      </c>
      <c r="W167" s="41">
        <f t="shared" si="89"/>
        <v>73623121.200000048</v>
      </c>
      <c r="X167" s="41">
        <f t="shared" si="89"/>
        <v>170519230.79999995</v>
      </c>
      <c r="Y167" s="41">
        <f t="shared" si="89"/>
        <v>-14662666.799999952</v>
      </c>
    </row>
    <row r="168" spans="1:25" ht="117" x14ac:dyDescent="0.2">
      <c r="A168" s="8" t="s">
        <v>704</v>
      </c>
      <c r="B168" s="37" t="s">
        <v>705</v>
      </c>
      <c r="C168" s="6"/>
      <c r="D168" s="8" t="s">
        <v>706</v>
      </c>
      <c r="E168" s="44" t="str">
        <f t="shared" ref="E168:Y168" si="90">IF(E95=0,"Не применимо",IF(E155&lt;=0,"Не окупается: годовой эффект ≤ 0",IF(E158&lt;=N_pb_good,"Высокая целесообразность (окупаемость до "&amp;N_pb_good&amp;" лет)",IF(E158&lt;=N_pb_mid,"Средняя целесообразность ("&amp;N_pb_good&amp;"–"&amp;N_pb_mid&amp;" лет) — рекомендован пилот","Низкая целесообразность (более "&amp;N_pb_mid&amp;" лет) — требует уточнения данных"))))</f>
        <v>Высокая целесообразность (окупаемость до 2 лет)</v>
      </c>
      <c r="F168" s="44" t="str">
        <f t="shared" si="90"/>
        <v>Высокая целесообразность (окупаемость до 2 лет)</v>
      </c>
      <c r="G168" s="44" t="str">
        <f t="shared" si="90"/>
        <v>Средняя целесообразность (2–4 лет) — рекомендован пилот</v>
      </c>
      <c r="H168" s="44" t="str">
        <f t="shared" si="90"/>
        <v>Высокая целесообразность (окупаемость до 2 лет)</v>
      </c>
      <c r="I168" s="44" t="str">
        <f t="shared" si="90"/>
        <v>Высокая целесообразность (окупаемость до 2 лет)</v>
      </c>
      <c r="J168" s="44" t="str">
        <f t="shared" si="90"/>
        <v>Средняя целесообразность (2–4 лет) — рекомендован пилот</v>
      </c>
      <c r="K168" s="44" t="str">
        <f t="shared" si="90"/>
        <v>Высокая целесообразность (окупаемость до 2 лет)</v>
      </c>
      <c r="L168" s="44" t="str">
        <f t="shared" si="90"/>
        <v>Высокая целесообразность (окупаемость до 2 лет)</v>
      </c>
      <c r="M168" s="44" t="str">
        <f t="shared" si="90"/>
        <v>Высокая целесообразность (окупаемость до 2 лет)</v>
      </c>
      <c r="N168" s="44" t="str">
        <f t="shared" si="90"/>
        <v>Высокая целесообразность (окупаемость до 2 лет)</v>
      </c>
      <c r="O168" s="44" t="str">
        <f t="shared" si="90"/>
        <v>Высокая целесообразность (окупаемость до 2 лет)</v>
      </c>
      <c r="P168" s="44" t="str">
        <f t="shared" si="90"/>
        <v>Высокая целесообразность (окупаемость до 2 лет)</v>
      </c>
      <c r="Q168" s="44" t="str">
        <f t="shared" si="90"/>
        <v>Высокая целесообразность (окупаемость до 2 лет)</v>
      </c>
      <c r="R168" s="44" t="str">
        <f t="shared" si="90"/>
        <v>Высокая целесообразность (окупаемость до 2 лет)</v>
      </c>
      <c r="S168" s="44" t="str">
        <f t="shared" si="90"/>
        <v>Низкая целесообразность (более 4 лет) — требует уточнения данных</v>
      </c>
      <c r="T168" s="44" t="str">
        <f t="shared" si="90"/>
        <v>Низкая целесообразность (более 4 лет) — требует уточнения данных</v>
      </c>
      <c r="U168" s="44" t="str">
        <f t="shared" si="90"/>
        <v>Низкая целесообразность (более 4 лет) — требует уточнения данных</v>
      </c>
      <c r="V168" s="44" t="str">
        <f t="shared" si="90"/>
        <v>Низкая целесообразность (более 4 лет) — требует уточнения данных</v>
      </c>
      <c r="W168" s="44" t="str">
        <f t="shared" si="90"/>
        <v>Низкая целесообразность (более 4 лет) — требует уточнения данных</v>
      </c>
      <c r="X168" s="44" t="str">
        <f t="shared" si="90"/>
        <v>Низкая целесообразность (более 4 лет) — требует уточнения данных</v>
      </c>
      <c r="Y168" s="44" t="str">
        <f t="shared" si="90"/>
        <v>Низкая целесообразность (более 4 лет) — требует уточнения данных</v>
      </c>
    </row>
    <row r="169" spans="1:25" ht="143" x14ac:dyDescent="0.2">
      <c r="A169" s="8" t="s">
        <v>707</v>
      </c>
      <c r="B169" s="6" t="s">
        <v>708</v>
      </c>
      <c r="C169" s="6"/>
      <c r="D169" s="8" t="s">
        <v>709</v>
      </c>
      <c r="E169" s="6" t="str">
        <f t="shared" ref="E169:Y169" si="91">IF(E72&lt;&gt;"operation","Зрелость: статус «"&amp;E72&amp;"»; ","")&amp;IF(E73&lt;&gt;"Да","ТТХ требуют подтверждения; ","")&amp;IF(E135="Превышает бюджет","CAPEX выше планового бюджета; ","")&amp;IF(E118&lt;&gt;"ОК","недостаточно мощности для зарядки; ","")&amp;IF(E116&lt;0.3,"низкая среднесуточная загрузка парка (парк рассчитан на пик) — рассмотреть частичную роботизацию или RaaS; ","")</f>
        <v xml:space="preserve">низкая среднесуточная загрузка парка (парк рассчитан на пик) — рассмотреть частичную роботизацию или RaaS; </v>
      </c>
      <c r="F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G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H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I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J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K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L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M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N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O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P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Q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R169" s="6" t="str">
        <f t="shared" si="91"/>
        <v xml:space="preserve">низкая среднесуточная загрузка парка (парк рассчитан на пик) — рассмотреть частичную роботизацию или RaaS; </v>
      </c>
      <c r="S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T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U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V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W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X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  <c r="Y169" s="6" t="str">
        <f t="shared" si="91"/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</row>
    <row r="171" spans="1:25" ht="18" customHeight="1" x14ac:dyDescent="0.2">
      <c r="A171" s="18" t="s">
        <v>710</v>
      </c>
      <c r="B171" s="18"/>
      <c r="C171" s="18"/>
      <c r="D171" s="18"/>
      <c r="E171" s="18"/>
      <c r="F171" s="18"/>
      <c r="G171" s="18"/>
      <c r="H171" s="18"/>
    </row>
    <row r="172" spans="1:25" ht="30" customHeight="1" x14ac:dyDescent="0.2">
      <c r="A172" s="5"/>
      <c r="B172" s="5" t="s">
        <v>711</v>
      </c>
      <c r="C172" s="5" t="s">
        <v>20</v>
      </c>
      <c r="D172" s="5" t="s">
        <v>712</v>
      </c>
      <c r="E172" s="5" t="s">
        <v>408</v>
      </c>
      <c r="F172" s="5" t="s">
        <v>409</v>
      </c>
      <c r="G172" s="5" t="s">
        <v>410</v>
      </c>
    </row>
    <row r="173" spans="1:25" ht="28" x14ac:dyDescent="0.2">
      <c r="B173" s="44" t="s">
        <v>713</v>
      </c>
      <c r="C173" s="45"/>
      <c r="D173" s="46" t="s">
        <v>197</v>
      </c>
      <c r="E173" s="45" t="str">
        <f>E71</f>
        <v>Беспилотный тягач (Cognitive Pilot)</v>
      </c>
      <c r="F173" s="45" t="str">
        <f>L71</f>
        <v>Беспилотный тягач (Cognitive Pilot)</v>
      </c>
      <c r="G173" s="45" t="str">
        <f>S71</f>
        <v>EVOCARGO N1 (беспилотный электрогрузовик)</v>
      </c>
    </row>
    <row r="174" spans="1:25" ht="16" x14ac:dyDescent="0.2">
      <c r="B174" s="44" t="s">
        <v>714</v>
      </c>
      <c r="C174" s="45"/>
      <c r="D174" s="46" t="s">
        <v>197</v>
      </c>
      <c r="E174" s="45" t="str">
        <f>E72</f>
        <v>operation</v>
      </c>
      <c r="F174" s="45" t="str">
        <f>L72</f>
        <v>operation</v>
      </c>
      <c r="G174" s="45" t="str">
        <f>S72</f>
        <v>operation</v>
      </c>
    </row>
    <row r="175" spans="1:25" ht="56" x14ac:dyDescent="0.2">
      <c r="B175" s="44" t="s">
        <v>715</v>
      </c>
      <c r="C175" s="45"/>
      <c r="D175" s="46" t="s">
        <v>197</v>
      </c>
      <c r="E175" s="45" t="str">
        <f>E96</f>
        <v>Применимо: все ключевые ограничения выполнены</v>
      </c>
      <c r="F175" s="45" t="str">
        <f>L96</f>
        <v>Применимо: все ключевые ограничения выполнены</v>
      </c>
      <c r="G175" s="45" t="str">
        <f>S96</f>
        <v>Применимо: все ключевые ограничения выполнены</v>
      </c>
    </row>
    <row r="176" spans="1:25" x14ac:dyDescent="0.2">
      <c r="B176" s="44" t="s">
        <v>716</v>
      </c>
      <c r="C176" s="45" t="s">
        <v>548</v>
      </c>
      <c r="D176" s="47">
        <v>0</v>
      </c>
      <c r="E176" s="48">
        <f>E113</f>
        <v>17</v>
      </c>
      <c r="F176" s="48">
        <f>L113</f>
        <v>17</v>
      </c>
      <c r="G176" s="48">
        <f>S113</f>
        <v>39</v>
      </c>
    </row>
    <row r="177" spans="2:7" x14ac:dyDescent="0.2">
      <c r="B177" s="44" t="s">
        <v>717</v>
      </c>
      <c r="C177" s="45" t="s">
        <v>548</v>
      </c>
      <c r="D177" s="47">
        <v>0</v>
      </c>
      <c r="E177" s="48">
        <f>E114</f>
        <v>9</v>
      </c>
      <c r="F177" s="48">
        <f>L114</f>
        <v>9</v>
      </c>
      <c r="G177" s="48">
        <f>S114</f>
        <v>20</v>
      </c>
    </row>
    <row r="178" spans="2:7" x14ac:dyDescent="0.2">
      <c r="B178" s="44" t="s">
        <v>718</v>
      </c>
      <c r="C178" s="45" t="s">
        <v>51</v>
      </c>
      <c r="D178" s="49">
        <v>0</v>
      </c>
      <c r="E178" s="50">
        <f>E134</f>
        <v>104290450</v>
      </c>
      <c r="F178" s="50">
        <f>L134</f>
        <v>18260550</v>
      </c>
      <c r="G178" s="50">
        <f>S134</f>
        <v>350812550</v>
      </c>
    </row>
    <row r="179" spans="2:7" ht="16" x14ac:dyDescent="0.2">
      <c r="B179" s="44" t="s">
        <v>719</v>
      </c>
      <c r="C179" s="45"/>
      <c r="D179" s="46" t="s">
        <v>197</v>
      </c>
      <c r="E179" s="45" t="str">
        <f>E135</f>
        <v>В бюджете</v>
      </c>
      <c r="F179" s="45" t="str">
        <f>L135</f>
        <v>В бюджете</v>
      </c>
      <c r="G179" s="45" t="str">
        <f>S135</f>
        <v>Превышает бюджет</v>
      </c>
    </row>
    <row r="180" spans="2:7" x14ac:dyDescent="0.2">
      <c r="B180" s="44" t="s">
        <v>720</v>
      </c>
      <c r="C180" s="45" t="s">
        <v>91</v>
      </c>
      <c r="D180" s="49">
        <f>E121</f>
        <v>99993600</v>
      </c>
      <c r="E180" s="50">
        <f>E151</f>
        <v>40836012</v>
      </c>
      <c r="F180" s="50">
        <f>L151</f>
        <v>50356012</v>
      </c>
      <c r="G180" s="50">
        <f>S151</f>
        <v>57667276</v>
      </c>
    </row>
    <row r="181" spans="2:7" x14ac:dyDescent="0.2">
      <c r="B181" s="44" t="s">
        <v>721</v>
      </c>
      <c r="C181" s="45" t="s">
        <v>91</v>
      </c>
      <c r="D181" s="49">
        <v>0</v>
      </c>
      <c r="E181" s="50">
        <f>E146</f>
        <v>12837804</v>
      </c>
      <c r="F181" s="50">
        <f>L146</f>
        <v>22357804</v>
      </c>
      <c r="G181" s="50">
        <f>S146</f>
        <v>29669068</v>
      </c>
    </row>
    <row r="182" spans="2:7" x14ac:dyDescent="0.2">
      <c r="B182" s="44" t="s">
        <v>722</v>
      </c>
      <c r="C182" s="45" t="s">
        <v>91</v>
      </c>
      <c r="D182" s="49">
        <v>0</v>
      </c>
      <c r="E182" s="50">
        <f>E152</f>
        <v>-59157588</v>
      </c>
      <c r="F182" s="50">
        <f>L152</f>
        <v>-49637588</v>
      </c>
      <c r="G182" s="50">
        <f>S152</f>
        <v>-42326324</v>
      </c>
    </row>
    <row r="183" spans="2:7" x14ac:dyDescent="0.2">
      <c r="B183" s="44" t="s">
        <v>723</v>
      </c>
      <c r="C183" s="45" t="s">
        <v>374</v>
      </c>
      <c r="D183" s="51">
        <v>0</v>
      </c>
      <c r="E183" s="52">
        <f>E148</f>
        <v>46.080000000000005</v>
      </c>
      <c r="F183" s="52">
        <f>L148</f>
        <v>46.080000000000005</v>
      </c>
      <c r="G183" s="52">
        <f>S148</f>
        <v>46.080000000000005</v>
      </c>
    </row>
    <row r="184" spans="2:7" x14ac:dyDescent="0.2">
      <c r="B184" s="44" t="s">
        <v>724</v>
      </c>
      <c r="C184" s="45" t="s">
        <v>91</v>
      </c>
      <c r="D184" s="49">
        <v>0</v>
      </c>
      <c r="E184" s="50">
        <f>E155</f>
        <v>60770388</v>
      </c>
      <c r="F184" s="50">
        <f>L155</f>
        <v>51250388</v>
      </c>
      <c r="G184" s="50">
        <f>S155</f>
        <v>43939124</v>
      </c>
    </row>
    <row r="185" spans="2:7" x14ac:dyDescent="0.2">
      <c r="B185" s="44" t="s">
        <v>725</v>
      </c>
      <c r="C185" s="45" t="s">
        <v>91</v>
      </c>
      <c r="D185" s="49">
        <v>0</v>
      </c>
      <c r="E185" s="50">
        <f>E157</f>
        <v>50341343</v>
      </c>
      <c r="F185" s="50">
        <f>L157</f>
        <v>51250388</v>
      </c>
      <c r="G185" s="50">
        <f>S157</f>
        <v>8857869</v>
      </c>
    </row>
    <row r="186" spans="2:7" ht="16" x14ac:dyDescent="0.2">
      <c r="B186" s="44" t="s">
        <v>726</v>
      </c>
      <c r="C186" s="45" t="s">
        <v>85</v>
      </c>
      <c r="D186" s="51" t="s">
        <v>197</v>
      </c>
      <c r="E186" s="52">
        <f>E158</f>
        <v>1.7161392815198087</v>
      </c>
      <c r="F186" s="52">
        <f>L158</f>
        <v>0.35630071717700945</v>
      </c>
      <c r="G186" s="52">
        <f>S158</f>
        <v>7.9840588082730095</v>
      </c>
    </row>
    <row r="187" spans="2:7" ht="16" x14ac:dyDescent="0.2">
      <c r="B187" s="44" t="s">
        <v>727</v>
      </c>
      <c r="C187" s="45" t="s">
        <v>558</v>
      </c>
      <c r="D187" s="53" t="s">
        <v>197</v>
      </c>
      <c r="E187" s="54">
        <f>E163</f>
        <v>4.0137204892681932</v>
      </c>
      <c r="F187" s="54">
        <f>L163</f>
        <v>19.64632587736952</v>
      </c>
      <c r="G187" s="54">
        <f>S163</f>
        <v>0.81004476037131512</v>
      </c>
    </row>
    <row r="188" spans="2:7" x14ac:dyDescent="0.2">
      <c r="B188" s="44" t="s">
        <v>728</v>
      </c>
      <c r="C188" s="45" t="s">
        <v>51</v>
      </c>
      <c r="D188" s="49">
        <v>0</v>
      </c>
      <c r="E188" s="50">
        <f>E164</f>
        <v>200955078</v>
      </c>
      <c r="F188" s="50">
        <f>L164</f>
        <v>174765178</v>
      </c>
      <c r="G188" s="50">
        <f>S164</f>
        <v>581896026</v>
      </c>
    </row>
    <row r="189" spans="2:7" x14ac:dyDescent="0.2">
      <c r="B189" s="44" t="s">
        <v>729</v>
      </c>
      <c r="C189" s="45" t="s">
        <v>51</v>
      </c>
      <c r="D189" s="49">
        <f>E165</f>
        <v>699955200</v>
      </c>
      <c r="E189" s="50">
        <f>E166</f>
        <v>396942534</v>
      </c>
      <c r="F189" s="50">
        <f>L166</f>
        <v>370752634</v>
      </c>
      <c r="G189" s="50">
        <f>S166</f>
        <v>777883482</v>
      </c>
    </row>
    <row r="190" spans="2:7" ht="56" x14ac:dyDescent="0.2">
      <c r="B190" s="44" t="s">
        <v>730</v>
      </c>
      <c r="C190" s="45"/>
      <c r="D190" s="46" t="s">
        <v>731</v>
      </c>
      <c r="E190" s="45" t="str">
        <f>E168</f>
        <v>Высокая целесообразность (окупаемость до 2 лет)</v>
      </c>
      <c r="F190" s="45" t="str">
        <f>L168</f>
        <v>Высокая целесообразность (окупаемость до 2 лет)</v>
      </c>
      <c r="G190" s="45" t="str">
        <f>S168</f>
        <v>Низкая целесообразность (более 4 лет) — требует уточнения данных</v>
      </c>
    </row>
    <row r="191" spans="2:7" ht="140" x14ac:dyDescent="0.2">
      <c r="B191" s="44" t="s">
        <v>732</v>
      </c>
      <c r="C191" s="45"/>
      <c r="D191" s="46" t="s">
        <v>197</v>
      </c>
      <c r="E191" s="45" t="str">
        <f>E169</f>
        <v xml:space="preserve">низкая среднесуточная загрузка парка (парк рассчитан на пик) — рассмотреть частичную роботизацию или RaaS; </v>
      </c>
      <c r="F191" s="45" t="str">
        <f>L169</f>
        <v xml:space="preserve">низкая среднесуточная загрузка парка (парк рассчитан на пик) — рассмотреть частичную роботизацию или RaaS; </v>
      </c>
      <c r="G191" s="45" t="str">
        <f>S169</f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</row>
    <row r="193" spans="1:11" ht="18" customHeight="1" x14ac:dyDescent="0.2">
      <c r="A193" s="18" t="s">
        <v>733</v>
      </c>
      <c r="B193" s="18"/>
      <c r="C193" s="18"/>
      <c r="D193" s="18"/>
      <c r="E193" s="18"/>
      <c r="F193" s="18"/>
      <c r="G193" s="18"/>
      <c r="H193" s="18"/>
    </row>
    <row r="194" spans="1:11" ht="30" customHeight="1" x14ac:dyDescent="0.2">
      <c r="A194" s="5"/>
      <c r="B194" s="5" t="s">
        <v>734</v>
      </c>
      <c r="C194" s="5" t="s">
        <v>735</v>
      </c>
      <c r="D194" s="5" t="s">
        <v>736</v>
      </c>
      <c r="E194" s="5" t="s">
        <v>737</v>
      </c>
      <c r="F194" s="5" t="s">
        <v>738</v>
      </c>
      <c r="G194" s="5" t="s">
        <v>739</v>
      </c>
      <c r="H194" s="5" t="s">
        <v>740</v>
      </c>
      <c r="I194" s="5" t="s">
        <v>741</v>
      </c>
      <c r="J194" s="5" t="s">
        <v>742</v>
      </c>
      <c r="K194" s="5" t="s">
        <v>743</v>
      </c>
    </row>
    <row r="195" spans="1:11" x14ac:dyDescent="0.2">
      <c r="B195" s="55">
        <v>0</v>
      </c>
      <c r="C195" s="56">
        <f>-E134</f>
        <v>-104290450</v>
      </c>
      <c r="D195" s="56">
        <f>C195</f>
        <v>-104290450</v>
      </c>
      <c r="E195" s="56">
        <f>C195</f>
        <v>-104290450</v>
      </c>
      <c r="F195" s="56">
        <f>-L134</f>
        <v>-18260550</v>
      </c>
      <c r="G195" s="56">
        <f>F195</f>
        <v>-18260550</v>
      </c>
      <c r="H195" s="56">
        <f>F195</f>
        <v>-18260550</v>
      </c>
      <c r="I195" s="56">
        <f>-S134</f>
        <v>-350812550</v>
      </c>
      <c r="J195" s="56">
        <f>I195</f>
        <v>-350812550</v>
      </c>
      <c r="K195" s="56">
        <f>I195</f>
        <v>-350812550</v>
      </c>
    </row>
    <row r="196" spans="1:11" x14ac:dyDescent="0.2">
      <c r="B196" s="55">
        <v>1</v>
      </c>
      <c r="C196" s="56">
        <f>IF(1&lt;=E159,E155-IF(AND(E123=1,MOD(1,N_battery_life)=0,1&lt;=E159-1),E161,0),0)</f>
        <v>60770388</v>
      </c>
      <c r="D196" s="56">
        <f t="shared" ref="D196:D205" si="92">D195+C196</f>
        <v>-43520062</v>
      </c>
      <c r="E196" s="56">
        <f>E195+C196/(1+N_discount)^1</f>
        <v>-49044642.727272734</v>
      </c>
      <c r="F196" s="56">
        <f>IF(1&lt;=L159,L155-IF(AND(L123=1,MOD(1,N_battery_life)=0,1&lt;=L159-1),L161,0),0)</f>
        <v>51250388</v>
      </c>
      <c r="G196" s="56">
        <f t="shared" ref="G196:G205" si="93">G195+F196</f>
        <v>32989838</v>
      </c>
      <c r="H196" s="56">
        <f>H195+F196/(1+N_discount)^1</f>
        <v>28330711.818181813</v>
      </c>
      <c r="I196" s="56">
        <f>IF(1&lt;=S159,S155-IF(AND(S123=1,MOD(1,N_battery_life)=0,1&lt;=S159-1),S161,0),0)</f>
        <v>43939124</v>
      </c>
      <c r="J196" s="56">
        <f t="shared" ref="J196:J205" si="94">J195+I196</f>
        <v>-306873426</v>
      </c>
      <c r="K196" s="56">
        <f>K195+I196/(1+N_discount)^1</f>
        <v>-310867891.81818181</v>
      </c>
    </row>
    <row r="197" spans="1:11" x14ac:dyDescent="0.2">
      <c r="B197" s="55">
        <v>2</v>
      </c>
      <c r="C197" s="56">
        <f>IF(2&lt;=E159,E155-IF(AND(E123=1,MOD(2,N_battery_life)=0,2&lt;=E159-1),E161,0),0)</f>
        <v>60770388</v>
      </c>
      <c r="D197" s="56">
        <f t="shared" si="92"/>
        <v>17250326</v>
      </c>
      <c r="E197" s="56">
        <f>E196+C197/(1+N_discount)^2</f>
        <v>1178818.4297520518</v>
      </c>
      <c r="F197" s="56">
        <f>IF(2&lt;=L159,L155-IF(AND(L123=1,MOD(2,N_battery_life)=0,2&lt;=L159-1),L161,0),0)</f>
        <v>51250388</v>
      </c>
      <c r="G197" s="56">
        <f t="shared" si="93"/>
        <v>84240226</v>
      </c>
      <c r="H197" s="56">
        <f>H196+F197/(1+N_discount)^2</f>
        <v>70686404.380165279</v>
      </c>
      <c r="I197" s="56">
        <f>IF(2&lt;=S159,S155-IF(AND(S123=1,MOD(2,N_battery_life)=0,2&lt;=S159-1),S161,0),0)</f>
        <v>43939124</v>
      </c>
      <c r="J197" s="56">
        <f t="shared" si="94"/>
        <v>-262934302</v>
      </c>
      <c r="K197" s="56">
        <f>K196+I197/(1+N_discount)^2</f>
        <v>-274554566.19834709</v>
      </c>
    </row>
    <row r="198" spans="1:11" x14ac:dyDescent="0.2">
      <c r="B198" s="55">
        <v>3</v>
      </c>
      <c r="C198" s="56">
        <f>IF(3&lt;=E159,E155-IF(AND(E123=1,MOD(3,N_battery_life)=0,3&lt;=E159-1),E161,0),0)</f>
        <v>60770388</v>
      </c>
      <c r="D198" s="56">
        <f t="shared" si="92"/>
        <v>78020714</v>
      </c>
      <c r="E198" s="56">
        <f>E197+C198/(1+N_discount)^3</f>
        <v>46836510.390683666</v>
      </c>
      <c r="F198" s="56">
        <f>IF(3&lt;=L159,L155-IF(AND(L123=1,MOD(3,N_battery_life)=0,3&lt;=L159-1),L161,0),0)</f>
        <v>51250388</v>
      </c>
      <c r="G198" s="56">
        <f t="shared" si="93"/>
        <v>135490614</v>
      </c>
      <c r="H198" s="56">
        <f>H197+F198/(1+N_discount)^3</f>
        <v>109191579.43651387</v>
      </c>
      <c r="I198" s="56">
        <f>IF(3&lt;=S159,S155-IF(AND(S123=1,MOD(3,N_battery_life)=0,3&lt;=S159-1),S161,0),0)</f>
        <v>43939124</v>
      </c>
      <c r="J198" s="56">
        <f t="shared" si="94"/>
        <v>-218995178</v>
      </c>
      <c r="K198" s="56">
        <f>K197+I198/(1+N_discount)^3</f>
        <v>-241542451.99849737</v>
      </c>
    </row>
    <row r="199" spans="1:11" x14ac:dyDescent="0.2">
      <c r="B199" s="55">
        <v>4</v>
      </c>
      <c r="C199" s="56">
        <f>IF(4&lt;=E159,E155-IF(AND(E123=1,MOD(4,N_battery_life)=0,4&lt;=E159-1),E161,0),0)</f>
        <v>53970388</v>
      </c>
      <c r="D199" s="56">
        <f t="shared" si="92"/>
        <v>131991102</v>
      </c>
      <c r="E199" s="56">
        <f>E198+C199/(1+N_discount)^4</f>
        <v>83699011.585957199</v>
      </c>
      <c r="F199" s="56">
        <f>IF(4&lt;=L159,L155-IF(AND(L123=1,MOD(4,N_battery_life)=0,4&lt;=L159-1),L161,0),0)</f>
        <v>51250388</v>
      </c>
      <c r="G199" s="56">
        <f t="shared" si="93"/>
        <v>186741002</v>
      </c>
      <c r="H199" s="56">
        <f>H198+F199/(1+N_discount)^4</f>
        <v>144196284.03319442</v>
      </c>
      <c r="I199" s="56">
        <f>IF(4&lt;=S159,S155-IF(AND(S123=1,MOD(4,N_battery_life)=0,4&lt;=S159-1),S161,0),0)</f>
        <v>20539124</v>
      </c>
      <c r="J199" s="56">
        <f t="shared" si="94"/>
        <v>-198456054</v>
      </c>
      <c r="K199" s="56">
        <f>K198+I199/(1+N_discount)^4</f>
        <v>-227513953.9450857</v>
      </c>
    </row>
    <row r="200" spans="1:11" x14ac:dyDescent="0.2">
      <c r="B200" s="55">
        <v>5</v>
      </c>
      <c r="C200" s="56">
        <f>IF(5&lt;=E159,E155-IF(AND(E123=1,MOD(5,N_battery_life)=0,5&lt;=E159-1),E161,0),0)</f>
        <v>60770388</v>
      </c>
      <c r="D200" s="56">
        <f t="shared" si="92"/>
        <v>192761490</v>
      </c>
      <c r="E200" s="56">
        <f>E199+C200/(1+N_discount)^5</f>
        <v>121432641.30573539</v>
      </c>
      <c r="F200" s="56">
        <f>IF(5&lt;=L159,L155-IF(AND(L123=1,MOD(5,N_battery_life)=0,5&lt;=L159-1),L161,0),0)</f>
        <v>51250388</v>
      </c>
      <c r="G200" s="56">
        <f t="shared" si="93"/>
        <v>237991390</v>
      </c>
      <c r="H200" s="56">
        <f>H199+F200/(1+N_discount)^5</f>
        <v>176018742.75744945</v>
      </c>
      <c r="I200" s="56">
        <f>IF(5&lt;=S159,S155-IF(AND(S123=1,MOD(5,N_battery_life)=0,5&lt;=S159-1),S161,0),0)</f>
        <v>43939124</v>
      </c>
      <c r="J200" s="56">
        <f t="shared" si="94"/>
        <v>-154516930</v>
      </c>
      <c r="K200" s="56">
        <f>K199+I200/(1+N_discount)^5</f>
        <v>-200231214.93694544</v>
      </c>
    </row>
    <row r="201" spans="1:11" x14ac:dyDescent="0.2">
      <c r="B201" s="55">
        <v>6</v>
      </c>
      <c r="C201" s="56">
        <f>IF(6&lt;=E159,E155-IF(AND(E123=1,MOD(6,N_battery_life)=0,6&lt;=E159-1),E161,0),0)</f>
        <v>60770388</v>
      </c>
      <c r="D201" s="56">
        <f t="shared" si="92"/>
        <v>253531878</v>
      </c>
      <c r="E201" s="56">
        <f>E200+C201/(1+N_discount)^6</f>
        <v>155735941.05098829</v>
      </c>
      <c r="F201" s="56">
        <f>IF(6&lt;=L159,L155-IF(AND(L123=1,MOD(6,N_battery_life)=0,6&lt;=L159-1),L161,0),0)</f>
        <v>51250388</v>
      </c>
      <c r="G201" s="56">
        <f t="shared" si="93"/>
        <v>289241778</v>
      </c>
      <c r="H201" s="56">
        <f>H200+F201/(1+N_discount)^6</f>
        <v>204948250.68859038</v>
      </c>
      <c r="I201" s="56">
        <f>IF(6&lt;=S159,S155-IF(AND(S123=1,MOD(6,N_battery_life)=0,6&lt;=S159-1),S161,0),0)</f>
        <v>43939124</v>
      </c>
      <c r="J201" s="56">
        <f t="shared" si="94"/>
        <v>-110577806</v>
      </c>
      <c r="K201" s="56">
        <f>K200+I201/(1+N_discount)^6</f>
        <v>-175428724.92954519</v>
      </c>
    </row>
    <row r="202" spans="1:11" x14ac:dyDescent="0.2">
      <c r="B202" s="55">
        <v>7</v>
      </c>
      <c r="C202" s="56">
        <f>IF(7&lt;=E159,E155-IF(AND(E123=1,MOD(7,N_battery_life)=0,7&lt;=E159-1),E161,0),0)</f>
        <v>60770388</v>
      </c>
      <c r="D202" s="56">
        <f t="shared" si="92"/>
        <v>314302266</v>
      </c>
      <c r="E202" s="56">
        <f>E201+C202/(1+N_discount)^7</f>
        <v>186920759.0012182</v>
      </c>
      <c r="F202" s="56">
        <f>IF(7&lt;=L159,L155-IF(AND(L123=1,MOD(7,N_battery_life)=0,7&lt;=L159-1),L161,0),0)</f>
        <v>51250388</v>
      </c>
      <c r="G202" s="56">
        <f t="shared" si="93"/>
        <v>340492166</v>
      </c>
      <c r="H202" s="56">
        <f>H201+F202/(1+N_discount)^7</f>
        <v>231247803.35326394</v>
      </c>
      <c r="I202" s="56">
        <f>IF(7&lt;=S159,S155-IF(AND(S123=1,MOD(7,N_battery_life)=0,7&lt;=S159-1),S161,0),0)</f>
        <v>43939124</v>
      </c>
      <c r="J202" s="56">
        <f t="shared" si="94"/>
        <v>-66638682</v>
      </c>
      <c r="K202" s="56">
        <f>K201+I202/(1+N_discount)^7</f>
        <v>-152881006.74099952</v>
      </c>
    </row>
    <row r="203" spans="1:11" x14ac:dyDescent="0.2">
      <c r="B203" s="55">
        <v>8</v>
      </c>
      <c r="C203" s="56">
        <f>IF(8&lt;=E159,E155-IF(AND(E123=1,MOD(8,N_battery_life)=0,8&lt;=E159-1),E161,0),0)</f>
        <v>0</v>
      </c>
      <c r="D203" s="56">
        <f t="shared" si="92"/>
        <v>314302266</v>
      </c>
      <c r="E203" s="56">
        <f>E202+C203/(1+N_discount)^8</f>
        <v>186920759.0012182</v>
      </c>
      <c r="F203" s="56">
        <f>IF(8&lt;=L159,L155-IF(AND(L123=1,MOD(8,N_battery_life)=0,8&lt;=L159-1),L161,0),0)</f>
        <v>0</v>
      </c>
      <c r="G203" s="56">
        <f t="shared" si="93"/>
        <v>340492166</v>
      </c>
      <c r="H203" s="56">
        <f>H202+F203/(1+N_discount)^8</f>
        <v>231247803.35326394</v>
      </c>
      <c r="I203" s="56">
        <f>IF(8&lt;=S159,S155-IF(AND(S123=1,MOD(8,N_battery_life)=0,8&lt;=S159-1),S161,0),0)</f>
        <v>0</v>
      </c>
      <c r="J203" s="56">
        <f t="shared" si="94"/>
        <v>-66638682</v>
      </c>
      <c r="K203" s="56">
        <f>K202+I203/(1+N_discount)^8</f>
        <v>-152881006.74099952</v>
      </c>
    </row>
    <row r="204" spans="1:11" x14ac:dyDescent="0.2">
      <c r="B204" s="55">
        <v>9</v>
      </c>
      <c r="C204" s="56">
        <f>IF(9&lt;=E159,E155-IF(AND(E123=1,MOD(9,N_battery_life)=0,9&lt;=E159-1),E161,0),0)</f>
        <v>0</v>
      </c>
      <c r="D204" s="56">
        <f t="shared" si="92"/>
        <v>314302266</v>
      </c>
      <c r="E204" s="56">
        <f>E203+C204/(1+N_discount)^9</f>
        <v>186920759.0012182</v>
      </c>
      <c r="F204" s="56">
        <f>IF(9&lt;=L159,L155-IF(AND(L123=1,MOD(9,N_battery_life)=0,9&lt;=L159-1),L161,0),0)</f>
        <v>0</v>
      </c>
      <c r="G204" s="56">
        <f t="shared" si="93"/>
        <v>340492166</v>
      </c>
      <c r="H204" s="56">
        <f>H203+F204/(1+N_discount)^9</f>
        <v>231247803.35326394</v>
      </c>
      <c r="I204" s="56">
        <f>IF(9&lt;=S159,S155-IF(AND(S123=1,MOD(9,N_battery_life)=0,9&lt;=S159-1),S161,0),0)</f>
        <v>0</v>
      </c>
      <c r="J204" s="56">
        <f t="shared" si="94"/>
        <v>-66638682</v>
      </c>
      <c r="K204" s="56">
        <f>K203+I204/(1+N_discount)^9</f>
        <v>-152881006.74099952</v>
      </c>
    </row>
    <row r="205" spans="1:11" x14ac:dyDescent="0.2">
      <c r="B205" s="55">
        <v>10</v>
      </c>
      <c r="C205" s="56">
        <f>IF(10&lt;=E159,E155-IF(AND(E123=1,MOD(10,N_battery_life)=0,10&lt;=E159-1),E161,0),0)</f>
        <v>0</v>
      </c>
      <c r="D205" s="56">
        <f t="shared" si="92"/>
        <v>314302266</v>
      </c>
      <c r="E205" s="56">
        <f>E204+C205/(1+N_discount)^10</f>
        <v>186920759.0012182</v>
      </c>
      <c r="F205" s="56">
        <f>IF(10&lt;=L159,L155-IF(AND(L123=1,MOD(10,N_battery_life)=0,10&lt;=L159-1),L161,0),0)</f>
        <v>0</v>
      </c>
      <c r="G205" s="56">
        <f t="shared" si="93"/>
        <v>340492166</v>
      </c>
      <c r="H205" s="56">
        <f>H204+F205/(1+N_discount)^10</f>
        <v>231247803.35326394</v>
      </c>
      <c r="I205" s="56">
        <f>IF(10&lt;=S159,S155-IF(AND(S123=1,MOD(10,N_battery_life)=0,10&lt;=S159-1),S161,0),0)</f>
        <v>0</v>
      </c>
      <c r="J205" s="56">
        <f t="shared" si="94"/>
        <v>-66638682</v>
      </c>
      <c r="K205" s="56">
        <f>K204+I205/(1+N_discount)^10</f>
        <v>-152881006.74099952</v>
      </c>
    </row>
    <row r="206" spans="1:11" x14ac:dyDescent="0.2">
      <c r="B206" s="3" t="s">
        <v>744</v>
      </c>
      <c r="E206" s="57">
        <f>E205</f>
        <v>186920759.0012182</v>
      </c>
      <c r="H206" s="57">
        <f>H205</f>
        <v>231247803.35326394</v>
      </c>
      <c r="K206" s="57">
        <f>K205</f>
        <v>-152881006.74099952</v>
      </c>
    </row>
    <row r="207" spans="1:11" x14ac:dyDescent="0.2">
      <c r="B207" s="3" t="s">
        <v>745</v>
      </c>
      <c r="E207" s="58">
        <f>IF(E205&lt;0,"не окупается",COUNTIF(E195:E205,"&lt;0"))</f>
        <v>2</v>
      </c>
      <c r="H207" s="58">
        <f>IF(H205&lt;0,"не окупается",COUNTIF(H195:H205,"&lt;0"))</f>
        <v>1</v>
      </c>
      <c r="K207" s="58" t="str">
        <f>IF(K205&lt;0,"не окупается",COUNTIF(K195:K205,"&lt;0"))</f>
        <v>не окупается</v>
      </c>
    </row>
    <row r="209" spans="1:8" ht="18" customHeight="1" x14ac:dyDescent="0.2">
      <c r="A209" s="18" t="s">
        <v>746</v>
      </c>
      <c r="B209" s="18"/>
      <c r="C209" s="18"/>
      <c r="D209" s="18"/>
      <c r="E209" s="18"/>
      <c r="F209" s="18"/>
      <c r="G209" s="18"/>
      <c r="H209" s="18"/>
    </row>
    <row r="210" spans="1:8" ht="30" customHeight="1" x14ac:dyDescent="0.2">
      <c r="A210" s="5"/>
      <c r="B210" s="5" t="s">
        <v>407</v>
      </c>
      <c r="C210" s="5" t="s">
        <v>253</v>
      </c>
      <c r="D210" s="5" t="s">
        <v>747</v>
      </c>
      <c r="E210" s="5" t="s">
        <v>748</v>
      </c>
      <c r="F210" s="5" t="s">
        <v>749</v>
      </c>
      <c r="G210" s="5" t="s">
        <v>750</v>
      </c>
      <c r="H210" s="5" t="s">
        <v>716</v>
      </c>
    </row>
    <row r="211" spans="1:8" x14ac:dyDescent="0.2">
      <c r="B211" s="59" t="s">
        <v>408</v>
      </c>
      <c r="C211" s="59" t="s">
        <v>197</v>
      </c>
      <c r="D211" s="59" t="s">
        <v>419</v>
      </c>
      <c r="E211" s="60">
        <f>E155</f>
        <v>60770388</v>
      </c>
      <c r="F211" s="61">
        <f>E158</f>
        <v>1.7161392815198087</v>
      </c>
      <c r="G211" s="62">
        <f>E163</f>
        <v>4.0137204892681932</v>
      </c>
      <c r="H211" s="63">
        <f>E113</f>
        <v>17</v>
      </c>
    </row>
    <row r="212" spans="1:8" x14ac:dyDescent="0.2">
      <c r="B212" s="55" t="s">
        <v>408</v>
      </c>
      <c r="C212" s="55" t="s">
        <v>751</v>
      </c>
      <c r="D212" s="55" t="s">
        <v>420</v>
      </c>
      <c r="E212" s="56">
        <f>F155</f>
        <v>62130388</v>
      </c>
      <c r="F212" s="64">
        <f>F158</f>
        <v>1.3535156097850218</v>
      </c>
      <c r="G212" s="65">
        <f>F163</f>
        <v>5.1070280618994479</v>
      </c>
      <c r="H212" s="66">
        <f>F113</f>
        <v>17</v>
      </c>
    </row>
    <row r="213" spans="1:8" x14ac:dyDescent="0.2">
      <c r="B213" s="55" t="s">
        <v>408</v>
      </c>
      <c r="C213" s="55" t="s">
        <v>751</v>
      </c>
      <c r="D213" s="55" t="s">
        <v>421</v>
      </c>
      <c r="E213" s="56">
        <f>G155</f>
        <v>59410388</v>
      </c>
      <c r="F213" s="64">
        <f>G158</f>
        <v>2.095365039528104</v>
      </c>
      <c r="G213" s="65">
        <f>G163</f>
        <v>3.2751573845988862</v>
      </c>
      <c r="H213" s="66">
        <f>G113</f>
        <v>17</v>
      </c>
    </row>
    <row r="214" spans="1:8" x14ac:dyDescent="0.2">
      <c r="B214" s="55" t="s">
        <v>408</v>
      </c>
      <c r="C214" s="55" t="s">
        <v>752</v>
      </c>
      <c r="D214" s="55" t="s">
        <v>422</v>
      </c>
      <c r="E214" s="56">
        <f>H155</f>
        <v>47690797.600000001</v>
      </c>
      <c r="F214" s="64">
        <f>H158</f>
        <v>1.6885490294253329</v>
      </c>
      <c r="G214" s="65">
        <f>H163</f>
        <v>4.080997453688612</v>
      </c>
      <c r="H214" s="66">
        <f>H113</f>
        <v>13</v>
      </c>
    </row>
    <row r="215" spans="1:8" x14ac:dyDescent="0.2">
      <c r="B215" s="55" t="s">
        <v>408</v>
      </c>
      <c r="C215" s="55" t="s">
        <v>752</v>
      </c>
      <c r="D215" s="55" t="s">
        <v>423</v>
      </c>
      <c r="E215" s="56">
        <f>I155</f>
        <v>74260490.399999991</v>
      </c>
      <c r="F215" s="64">
        <f>I158</f>
        <v>1.6443676757620769</v>
      </c>
      <c r="G215" s="65">
        <f>I163</f>
        <v>4.1914416187494137</v>
      </c>
      <c r="H215" s="66">
        <f>I113</f>
        <v>20</v>
      </c>
    </row>
    <row r="216" spans="1:8" x14ac:dyDescent="0.2">
      <c r="B216" s="55" t="s">
        <v>408</v>
      </c>
      <c r="C216" s="55" t="s">
        <v>753</v>
      </c>
      <c r="D216" s="55" t="s">
        <v>424</v>
      </c>
      <c r="E216" s="56">
        <f>J155</f>
        <v>47220549.600000001</v>
      </c>
      <c r="F216" s="64">
        <f>J158</f>
        <v>2.2085818755485218</v>
      </c>
      <c r="G216" s="65">
        <f>J163</f>
        <v>3.1042520882784568</v>
      </c>
      <c r="H216" s="66">
        <f>J113</f>
        <v>17</v>
      </c>
    </row>
    <row r="217" spans="1:8" x14ac:dyDescent="0.2">
      <c r="B217" s="55" t="s">
        <v>408</v>
      </c>
      <c r="C217" s="55" t="s">
        <v>753</v>
      </c>
      <c r="D217" s="55" t="s">
        <v>425</v>
      </c>
      <c r="E217" s="56">
        <f>K155</f>
        <v>74320226.399999991</v>
      </c>
      <c r="F217" s="64">
        <f>K158</f>
        <v>1.4032579696231928</v>
      </c>
      <c r="G217" s="65">
        <f>K163</f>
        <v>4.9231888902579284</v>
      </c>
      <c r="H217" s="66">
        <f>K113</f>
        <v>17</v>
      </c>
    </row>
    <row r="218" spans="1:8" x14ac:dyDescent="0.2">
      <c r="B218" s="59" t="s">
        <v>409</v>
      </c>
      <c r="C218" s="59" t="s">
        <v>197</v>
      </c>
      <c r="D218" s="59" t="s">
        <v>419</v>
      </c>
      <c r="E218" s="60">
        <f>L155</f>
        <v>51250388</v>
      </c>
      <c r="F218" s="61">
        <f>L158</f>
        <v>0.35630071717700945</v>
      </c>
      <c r="G218" s="62">
        <f>L163</f>
        <v>19.64632587736952</v>
      </c>
      <c r="H218" s="63">
        <f>L113</f>
        <v>17</v>
      </c>
    </row>
    <row r="219" spans="1:8" x14ac:dyDescent="0.2">
      <c r="B219" s="55" t="s">
        <v>409</v>
      </c>
      <c r="C219" s="55" t="s">
        <v>751</v>
      </c>
      <c r="D219" s="55" t="s">
        <v>420</v>
      </c>
      <c r="E219" s="56">
        <f>M155</f>
        <v>54514388</v>
      </c>
      <c r="F219" s="64">
        <f>M158</f>
        <v>0.28008293883809171</v>
      </c>
      <c r="G219" s="65">
        <f>M163</f>
        <v>24.992596939460526</v>
      </c>
      <c r="H219" s="66">
        <f>M113</f>
        <v>17</v>
      </c>
    </row>
    <row r="220" spans="1:8" x14ac:dyDescent="0.2">
      <c r="B220" s="55" t="s">
        <v>409</v>
      </c>
      <c r="C220" s="55" t="s">
        <v>751</v>
      </c>
      <c r="D220" s="55" t="s">
        <v>421</v>
      </c>
      <c r="E220" s="56">
        <f>N155</f>
        <v>47986388</v>
      </c>
      <c r="F220" s="64">
        <f>N158</f>
        <v>0.4428870537203175</v>
      </c>
      <c r="G220" s="65">
        <f>N163</f>
        <v>15.805384106848354</v>
      </c>
      <c r="H220" s="66">
        <f>N113</f>
        <v>17</v>
      </c>
    </row>
    <row r="221" spans="1:8" x14ac:dyDescent="0.2">
      <c r="B221" s="55" t="s">
        <v>409</v>
      </c>
      <c r="C221" s="55" t="s">
        <v>752</v>
      </c>
      <c r="D221" s="55" t="s">
        <v>422</v>
      </c>
      <c r="E221" s="56">
        <f>O155</f>
        <v>40410797.600000001</v>
      </c>
      <c r="F221" s="64">
        <f>O158</f>
        <v>0.36476760854628615</v>
      </c>
      <c r="G221" s="65">
        <f>O163</f>
        <v>19.19030044333488</v>
      </c>
      <c r="H221" s="66">
        <f>O113</f>
        <v>13</v>
      </c>
    </row>
    <row r="222" spans="1:8" x14ac:dyDescent="0.2">
      <c r="B222" s="55" t="s">
        <v>409</v>
      </c>
      <c r="C222" s="55" t="s">
        <v>752</v>
      </c>
      <c r="D222" s="55" t="s">
        <v>423</v>
      </c>
      <c r="E222" s="56">
        <f>P155</f>
        <v>63060490.399999991</v>
      </c>
      <c r="F222" s="64">
        <f>P158</f>
        <v>0.33143652812443086</v>
      </c>
      <c r="G222" s="65">
        <f>P163</f>
        <v>21.120182617203852</v>
      </c>
      <c r="H222" s="66">
        <f>P113</f>
        <v>20</v>
      </c>
    </row>
    <row r="223" spans="1:8" x14ac:dyDescent="0.2">
      <c r="B223" s="55" t="s">
        <v>409</v>
      </c>
      <c r="C223" s="55" t="s">
        <v>753</v>
      </c>
      <c r="D223" s="55" t="s">
        <v>424</v>
      </c>
      <c r="E223" s="56">
        <f>Q155</f>
        <v>37700549.600000001</v>
      </c>
      <c r="F223" s="64">
        <f>Q158</f>
        <v>0.48435766039866962</v>
      </c>
      <c r="G223" s="65">
        <f>Q163</f>
        <v>14.4521302589462</v>
      </c>
      <c r="H223" s="66">
        <f>Q113</f>
        <v>17</v>
      </c>
    </row>
    <row r="224" spans="1:8" x14ac:dyDescent="0.2">
      <c r="B224" s="55" t="s">
        <v>409</v>
      </c>
      <c r="C224" s="55" t="s">
        <v>753</v>
      </c>
      <c r="D224" s="55" t="s">
        <v>425</v>
      </c>
      <c r="E224" s="56">
        <f>R155</f>
        <v>64800226.399999991</v>
      </c>
      <c r="F224" s="64">
        <f>R158</f>
        <v>0.28179762655890972</v>
      </c>
      <c r="G224" s="65">
        <f>R163</f>
        <v>24.840521495792842</v>
      </c>
      <c r="H224" s="66">
        <f>R113</f>
        <v>17</v>
      </c>
    </row>
    <row r="225" spans="1:8" x14ac:dyDescent="0.2">
      <c r="B225" s="59" t="s">
        <v>410</v>
      </c>
      <c r="C225" s="59" t="s">
        <v>197</v>
      </c>
      <c r="D225" s="59" t="s">
        <v>419</v>
      </c>
      <c r="E225" s="60">
        <f>S155</f>
        <v>43939124</v>
      </c>
      <c r="F225" s="61">
        <f>S158</f>
        <v>7.9840588082730095</v>
      </c>
      <c r="G225" s="62">
        <f>S163</f>
        <v>0.81004476037131512</v>
      </c>
      <c r="H225" s="63">
        <f>S113</f>
        <v>39</v>
      </c>
    </row>
    <row r="226" spans="1:8" x14ac:dyDescent="0.2">
      <c r="B226" s="55" t="s">
        <v>410</v>
      </c>
      <c r="C226" s="55" t="s">
        <v>751</v>
      </c>
      <c r="D226" s="55" t="s">
        <v>420</v>
      </c>
      <c r="E226" s="56">
        <f>T155</f>
        <v>48619124</v>
      </c>
      <c r="F226" s="64">
        <f>T158</f>
        <v>5.7860884124526804</v>
      </c>
      <c r="G226" s="65">
        <f>T163</f>
        <v>1.1432535857103729</v>
      </c>
      <c r="H226" s="66">
        <f>T113</f>
        <v>39</v>
      </c>
    </row>
    <row r="227" spans="1:8" x14ac:dyDescent="0.2">
      <c r="B227" s="55" t="s">
        <v>410</v>
      </c>
      <c r="C227" s="55" t="s">
        <v>751</v>
      </c>
      <c r="D227" s="55" t="s">
        <v>421</v>
      </c>
      <c r="E227" s="56">
        <f>U155</f>
        <v>39259124</v>
      </c>
      <c r="F227" s="64">
        <f>U158</f>
        <v>10.706060328804076</v>
      </c>
      <c r="G227" s="65">
        <f>U163</f>
        <v>0.5870275395181016</v>
      </c>
      <c r="H227" s="66">
        <f>U113</f>
        <v>39</v>
      </c>
    </row>
    <row r="228" spans="1:8" x14ac:dyDescent="0.2">
      <c r="B228" s="55" t="s">
        <v>410</v>
      </c>
      <c r="C228" s="55" t="s">
        <v>752</v>
      </c>
      <c r="D228" s="55" t="s">
        <v>422</v>
      </c>
      <c r="E228" s="56">
        <f>V155</f>
        <v>34101581.600000001</v>
      </c>
      <c r="F228" s="64">
        <f>V158</f>
        <v>8.1969262680766679</v>
      </c>
      <c r="G228" s="65">
        <f>V163</f>
        <v>0.78743794211781537</v>
      </c>
      <c r="H228" s="66">
        <f>V113</f>
        <v>31</v>
      </c>
    </row>
    <row r="229" spans="1:8" x14ac:dyDescent="0.2">
      <c r="B229" s="55" t="s">
        <v>410</v>
      </c>
      <c r="C229" s="55" t="s">
        <v>752</v>
      </c>
      <c r="D229" s="55" t="s">
        <v>423</v>
      </c>
      <c r="E229" s="56">
        <f>W155</f>
        <v>54387178.399999991</v>
      </c>
      <c r="F229" s="64">
        <f>W158</f>
        <v>7.5971186988439188</v>
      </c>
      <c r="G229" s="65">
        <f>W163</f>
        <v>0.85460392411792407</v>
      </c>
      <c r="H229" s="66">
        <f>W113</f>
        <v>46</v>
      </c>
    </row>
    <row r="230" spans="1:8" x14ac:dyDescent="0.2">
      <c r="B230" s="55" t="s">
        <v>410</v>
      </c>
      <c r="C230" s="55" t="s">
        <v>753</v>
      </c>
      <c r="D230" s="55" t="s">
        <v>424</v>
      </c>
      <c r="E230" s="56">
        <f>X155</f>
        <v>30389285.600000001</v>
      </c>
      <c r="F230" s="64">
        <f>X158</f>
        <v>11.543955149771602</v>
      </c>
      <c r="G230" s="65">
        <f>X163</f>
        <v>0.53967567351852153</v>
      </c>
      <c r="H230" s="66">
        <f>X113</f>
        <v>39</v>
      </c>
    </row>
    <row r="231" spans="1:8" x14ac:dyDescent="0.2">
      <c r="B231" s="55" t="s">
        <v>410</v>
      </c>
      <c r="C231" s="55" t="s">
        <v>753</v>
      </c>
      <c r="D231" s="55" t="s">
        <v>425</v>
      </c>
      <c r="E231" s="56">
        <f>Y155</f>
        <v>57488962.399999991</v>
      </c>
      <c r="F231" s="64">
        <f>Y158</f>
        <v>6.1022592051513538</v>
      </c>
      <c r="G231" s="65">
        <f>Y163</f>
        <v>1.0804138472241085</v>
      </c>
      <c r="H231" s="66">
        <f>Y113</f>
        <v>39</v>
      </c>
    </row>
    <row r="233" spans="1:8" ht="18" customHeight="1" x14ac:dyDescent="0.2">
      <c r="A233" s="18" t="s">
        <v>754</v>
      </c>
      <c r="B233" s="18"/>
      <c r="C233" s="18"/>
      <c r="D233" s="18"/>
      <c r="E233" s="18"/>
      <c r="F233" s="18"/>
      <c r="G233" s="18"/>
      <c r="H233" s="18"/>
    </row>
    <row r="234" spans="1:8" ht="60" customHeight="1" x14ac:dyDescent="0.2">
      <c r="B234" s="1" t="str">
        <f>E62&amp;" — "&amp;E71&amp;": "&amp;E96&amp;". Роботов: "&amp;E113&amp;"; CAPEX "&amp;TEXT(E134/1000000,"0.0")&amp;" млн руб. ("&amp;E135&amp;"); чистый годовой эффект "&amp;TEXT(E155/1000000,"0.0")&amp;" млн руб.; окупаемость "&amp;IF(ISNUMBER(E158),TEXT(E158,"0.0")&amp;" лет",E158)&amp;"; ROI за горизонт "&amp;IF(ISNUMBER(E163),TEXT(E163,"0%"),"—")&amp;". "&amp;E168&amp;". "&amp;IF(E169="","","Риски: "&amp;E169)</f>
        <v xml:space="preserve">Покупка A — Беспилотный тягач (Cognitive Pilot): Применимо: все ключевые ограничения выполнены. Роботов: 17; CAPEX 104.3 млн руб. (В бюджете); чистый годовой эффект 60.8 млн руб.; окупаемость 1.7 лет; ROI за горизонт 401%. Высокая целесообразность (окупаемость до 2 лет). Риски: низкая среднесуточная загрузка парка (парк рассчитан на пик) — рассмотреть частичную роботизацию или RaaS; </v>
      </c>
      <c r="C234" s="1"/>
      <c r="D234" s="1"/>
      <c r="E234" s="1"/>
      <c r="F234" s="1"/>
      <c r="G234" s="1"/>
      <c r="H234" s="1"/>
    </row>
    <row r="235" spans="1:8" ht="60" customHeight="1" x14ac:dyDescent="0.2">
      <c r="B235" s="1" t="str">
        <f>L62&amp;" — "&amp;L71&amp;": "&amp;L96&amp;". Роботов: "&amp;L113&amp;"; CAPEX "&amp;TEXT(L134/1000000,"0.0")&amp;" млн руб. ("&amp;L135&amp;"); чистый годовой эффект "&amp;TEXT(L155/1000000,"0.0")&amp;" млн руб.; окупаемость "&amp;IF(ISNUMBER(L158),TEXT(L158,"0.0")&amp;" лет",L158)&amp;"; ROI за горизонт "&amp;IF(ISNUMBER(L163),TEXT(L163,"0%"),"—")&amp;". "&amp;L168&amp;". "&amp;IF(L169="","","Риски: "&amp;L169)</f>
        <v xml:space="preserve">RaaS A — Беспилотный тягач (Cognitive Pilot): Применимо: все ключевые ограничения выполнены. Роботов: 17; CAPEX 18.3 млн руб. (В бюджете); чистый годовой эффект 51.3 млн руб.; окупаемость 0.4 лет; ROI за горизонт 1965%. Высокая целесообразность (окупаемость до 2 лет). Риски: низкая среднесуточная загрузка парка (парк рассчитан на пик) — рассмотреть частичную роботизацию или RaaS; </v>
      </c>
      <c r="C235" s="1"/>
      <c r="D235" s="1"/>
      <c r="E235" s="1"/>
      <c r="F235" s="1"/>
      <c r="G235" s="1"/>
      <c r="H235" s="1"/>
    </row>
    <row r="236" spans="1:8" ht="60" customHeight="1" x14ac:dyDescent="0.2">
      <c r="B236" s="1" t="str">
        <f>S62&amp;" — "&amp;S71&amp;": "&amp;S96&amp;". Роботов: "&amp;S113&amp;"; CAPEX "&amp;TEXT(S134/1000000,"0.0")&amp;" млн руб. ("&amp;S135&amp;"); чистый годовой эффект "&amp;TEXT(S155/1000000,"0.0")&amp;" млн руб.; окупаемость "&amp;IF(ISNUMBER(S158),TEXT(S158,"0.0")&amp;" лет",S158)&amp;"; ROI за горизонт "&amp;IF(ISNUMBER(S163),TEXT(S163,"0%"),"—")&amp;". "&amp;S168&amp;". "&amp;IF(S169="","","Риски: "&amp;S169)</f>
        <v xml:space="preserve">Покупка B — EVOCARGO N1 (беспилотный электрогрузовик): Применимо: все ключевые ограничения выполнены. Роботов: 39; CAPEX 350.8 млн руб. (Превышает бюджет); чистый годовой эффект 43.9 млн руб.; окупаемость 8.0 лет; ROI за горизонт 81%. Низкая целесообразность (более 4 лет) — требует уточнения данных. Риски: CAPEX выше планового бюджета; низкая среднесуточная загрузка парка (парк рассчитан на пик) — рассмотреть частичную роботизацию или RaaS; </v>
      </c>
      <c r="C236" s="1"/>
      <c r="D236" s="1"/>
      <c r="E236" s="1"/>
      <c r="F236" s="1"/>
      <c r="G236" s="1"/>
      <c r="H236" s="1"/>
    </row>
  </sheetData>
  <mergeCells count="3">
    <mergeCell ref="B234:H234"/>
    <mergeCell ref="B235:H235"/>
    <mergeCell ref="B236:H23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52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6" customWidth="1"/>
    <col min="2" max="2" width="62" customWidth="1"/>
    <col min="3" max="3" width="12" customWidth="1"/>
    <col min="4" max="4" width="40" customWidth="1"/>
    <col min="5" max="6" width="19" customWidth="1"/>
    <col min="7" max="7" width="46" customWidth="1"/>
    <col min="8" max="25" width="19" customWidth="1"/>
  </cols>
  <sheetData>
    <row r="1" spans="1:8" ht="18" x14ac:dyDescent="0.2">
      <c r="A1" s="2" t="s">
        <v>890</v>
      </c>
    </row>
    <row r="2" spans="1:8" x14ac:dyDescent="0.2">
      <c r="A2" s="17" t="s">
        <v>250</v>
      </c>
    </row>
    <row r="4" spans="1:8" ht="18" customHeight="1" x14ac:dyDescent="0.2">
      <c r="A4" s="18" t="s">
        <v>891</v>
      </c>
      <c r="B4" s="18"/>
      <c r="C4" s="18"/>
      <c r="D4" s="18"/>
      <c r="E4" s="18"/>
      <c r="F4" s="18"/>
      <c r="G4" s="18"/>
      <c r="H4" s="18"/>
    </row>
    <row r="5" spans="1:8" ht="30" customHeight="1" x14ac:dyDescent="0.2">
      <c r="A5" s="5" t="s">
        <v>252</v>
      </c>
      <c r="B5" s="5" t="s">
        <v>253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</row>
    <row r="6" spans="1:8" x14ac:dyDescent="0.2">
      <c r="A6" s="6" t="s">
        <v>892</v>
      </c>
      <c r="B6" s="6" t="s">
        <v>893</v>
      </c>
      <c r="C6" s="6" t="s">
        <v>256</v>
      </c>
      <c r="D6" s="13">
        <v>45000</v>
      </c>
      <c r="E6" s="6">
        <v>3000</v>
      </c>
      <c r="F6" s="6">
        <v>200000</v>
      </c>
      <c r="G6" s="6" t="s">
        <v>894</v>
      </c>
      <c r="H6" s="8" t="s">
        <v>258</v>
      </c>
    </row>
    <row r="7" spans="1:8" x14ac:dyDescent="0.2">
      <c r="A7" s="6" t="s">
        <v>895</v>
      </c>
      <c r="B7" s="6" t="s">
        <v>896</v>
      </c>
      <c r="C7" s="6" t="s">
        <v>548</v>
      </c>
      <c r="D7" s="13">
        <v>9</v>
      </c>
      <c r="E7" s="6">
        <v>3</v>
      </c>
      <c r="F7" s="6">
        <v>20</v>
      </c>
      <c r="G7" s="6" t="s">
        <v>894</v>
      </c>
      <c r="H7" s="8" t="s">
        <v>258</v>
      </c>
    </row>
    <row r="8" spans="1:8" x14ac:dyDescent="0.2">
      <c r="A8" s="6" t="s">
        <v>897</v>
      </c>
      <c r="B8" s="6" t="s">
        <v>898</v>
      </c>
      <c r="C8" s="6" t="s">
        <v>548</v>
      </c>
      <c r="D8" s="13">
        <v>4</v>
      </c>
      <c r="E8" s="6">
        <v>1</v>
      </c>
      <c r="F8" s="6">
        <v>12</v>
      </c>
      <c r="G8" s="6" t="s">
        <v>894</v>
      </c>
      <c r="H8" s="8" t="s">
        <v>258</v>
      </c>
    </row>
    <row r="9" spans="1:8" x14ac:dyDescent="0.2">
      <c r="A9" s="6" t="s">
        <v>899</v>
      </c>
      <c r="B9" s="6" t="s">
        <v>900</v>
      </c>
      <c r="C9" s="6" t="s">
        <v>901</v>
      </c>
      <c r="D9" s="13">
        <v>650</v>
      </c>
      <c r="E9" s="6">
        <v>50</v>
      </c>
      <c r="F9" s="6">
        <v>2500</v>
      </c>
      <c r="G9" s="6" t="s">
        <v>894</v>
      </c>
      <c r="H9" s="8" t="s">
        <v>258</v>
      </c>
    </row>
    <row r="10" spans="1:8" x14ac:dyDescent="0.2">
      <c r="A10" s="6" t="s">
        <v>902</v>
      </c>
      <c r="B10" s="6" t="s">
        <v>903</v>
      </c>
      <c r="C10" s="6" t="s">
        <v>904</v>
      </c>
      <c r="D10" s="13">
        <v>3</v>
      </c>
      <c r="E10" s="6">
        <v>3</v>
      </c>
      <c r="F10" s="6">
        <v>5</v>
      </c>
      <c r="G10" s="6" t="s">
        <v>894</v>
      </c>
      <c r="H10" s="8" t="s">
        <v>258</v>
      </c>
    </row>
    <row r="11" spans="1:8" x14ac:dyDescent="0.2">
      <c r="A11" s="6" t="s">
        <v>905</v>
      </c>
      <c r="B11" s="6" t="s">
        <v>906</v>
      </c>
      <c r="C11" s="6" t="s">
        <v>548</v>
      </c>
      <c r="D11" s="13">
        <v>18</v>
      </c>
      <c r="E11" s="6">
        <v>4</v>
      </c>
      <c r="F11" s="6">
        <v>60</v>
      </c>
      <c r="G11" s="6" t="s">
        <v>894</v>
      </c>
      <c r="H11" s="8" t="s">
        <v>258</v>
      </c>
    </row>
    <row r="12" spans="1:8" x14ac:dyDescent="0.2">
      <c r="A12" s="6" t="s">
        <v>907</v>
      </c>
      <c r="B12" s="6" t="s">
        <v>908</v>
      </c>
      <c r="C12" s="6" t="s">
        <v>264</v>
      </c>
      <c r="D12" s="13">
        <v>180</v>
      </c>
      <c r="E12" s="6">
        <v>30</v>
      </c>
      <c r="F12" s="6">
        <v>500</v>
      </c>
      <c r="G12" s="6" t="s">
        <v>894</v>
      </c>
      <c r="H12" s="8" t="s">
        <v>258</v>
      </c>
    </row>
    <row r="13" spans="1:8" x14ac:dyDescent="0.2">
      <c r="A13" s="6" t="s">
        <v>909</v>
      </c>
      <c r="B13" s="6" t="s">
        <v>910</v>
      </c>
      <c r="C13" s="6" t="s">
        <v>295</v>
      </c>
      <c r="D13" s="13">
        <v>120</v>
      </c>
      <c r="E13" s="6">
        <v>40</v>
      </c>
      <c r="F13" s="6">
        <v>250</v>
      </c>
      <c r="G13" s="6" t="s">
        <v>894</v>
      </c>
      <c r="H13" s="8" t="s">
        <v>258</v>
      </c>
    </row>
    <row r="14" spans="1:8" x14ac:dyDescent="0.2">
      <c r="A14" s="6" t="s">
        <v>911</v>
      </c>
      <c r="B14" s="6" t="s">
        <v>912</v>
      </c>
      <c r="C14" s="6" t="s">
        <v>548</v>
      </c>
      <c r="D14" s="13">
        <v>18</v>
      </c>
      <c r="E14" s="6">
        <v>4</v>
      </c>
      <c r="F14" s="6">
        <v>60</v>
      </c>
      <c r="G14" s="6" t="s">
        <v>894</v>
      </c>
      <c r="H14" s="8" t="s">
        <v>258</v>
      </c>
    </row>
    <row r="15" spans="1:8" x14ac:dyDescent="0.2">
      <c r="A15" s="6" t="s">
        <v>913</v>
      </c>
      <c r="B15" s="6" t="s">
        <v>914</v>
      </c>
      <c r="C15" s="6" t="s">
        <v>904</v>
      </c>
      <c r="D15" s="7">
        <v>1.3</v>
      </c>
      <c r="E15" s="6">
        <v>1</v>
      </c>
      <c r="F15" s="6">
        <v>3</v>
      </c>
      <c r="G15" s="6" t="s">
        <v>894</v>
      </c>
      <c r="H15" s="8" t="s">
        <v>258</v>
      </c>
    </row>
    <row r="16" spans="1:8" x14ac:dyDescent="0.2">
      <c r="A16" s="6" t="s">
        <v>915</v>
      </c>
      <c r="B16" s="6" t="s">
        <v>916</v>
      </c>
      <c r="C16" s="6" t="s">
        <v>295</v>
      </c>
      <c r="D16" s="13">
        <v>55</v>
      </c>
      <c r="E16" s="6">
        <v>20</v>
      </c>
      <c r="F16" s="6">
        <v>120</v>
      </c>
      <c r="G16" s="6" t="s">
        <v>894</v>
      </c>
      <c r="H16" s="8" t="s">
        <v>258</v>
      </c>
    </row>
    <row r="17" spans="1:8" x14ac:dyDescent="0.2">
      <c r="A17" s="6" t="s">
        <v>917</v>
      </c>
      <c r="B17" s="6" t="s">
        <v>918</v>
      </c>
      <c r="C17" s="6" t="s">
        <v>766</v>
      </c>
      <c r="D17" s="13">
        <v>45</v>
      </c>
      <c r="E17" s="6">
        <v>10</v>
      </c>
      <c r="F17" s="6">
        <v>200</v>
      </c>
      <c r="G17" s="6" t="s">
        <v>894</v>
      </c>
      <c r="H17" s="8" t="s">
        <v>258</v>
      </c>
    </row>
    <row r="18" spans="1:8" x14ac:dyDescent="0.2">
      <c r="A18" s="6" t="s">
        <v>919</v>
      </c>
      <c r="B18" s="6" t="s">
        <v>920</v>
      </c>
      <c r="C18" s="6" t="s">
        <v>548</v>
      </c>
      <c r="D18" s="13">
        <v>20</v>
      </c>
      <c r="E18" s="6">
        <v>4</v>
      </c>
      <c r="F18" s="6">
        <v>70</v>
      </c>
      <c r="G18" s="6" t="s">
        <v>894</v>
      </c>
      <c r="H18" s="8" t="s">
        <v>258</v>
      </c>
    </row>
    <row r="19" spans="1:8" x14ac:dyDescent="0.2">
      <c r="A19" s="6" t="s">
        <v>921</v>
      </c>
      <c r="B19" s="6" t="s">
        <v>922</v>
      </c>
      <c r="C19" s="6" t="s">
        <v>904</v>
      </c>
      <c r="D19" s="13">
        <v>2</v>
      </c>
      <c r="E19" s="6">
        <v>1</v>
      </c>
      <c r="F19" s="6">
        <v>4</v>
      </c>
      <c r="G19" s="6" t="s">
        <v>894</v>
      </c>
      <c r="H19" s="8" t="s">
        <v>258</v>
      </c>
    </row>
    <row r="20" spans="1:8" x14ac:dyDescent="0.2">
      <c r="A20" s="6" t="s">
        <v>923</v>
      </c>
      <c r="B20" s="6" t="s">
        <v>924</v>
      </c>
      <c r="C20" s="6" t="s">
        <v>286</v>
      </c>
      <c r="D20" s="13">
        <v>65</v>
      </c>
      <c r="E20" s="6">
        <v>10</v>
      </c>
      <c r="F20" s="6">
        <v>300</v>
      </c>
      <c r="G20" s="6" t="s">
        <v>894</v>
      </c>
      <c r="H20" s="8" t="s">
        <v>258</v>
      </c>
    </row>
    <row r="21" spans="1:8" x14ac:dyDescent="0.2">
      <c r="A21" s="6" t="s">
        <v>925</v>
      </c>
      <c r="B21" s="6" t="s">
        <v>926</v>
      </c>
      <c r="C21" s="6" t="s">
        <v>286</v>
      </c>
      <c r="D21" s="13">
        <v>28</v>
      </c>
      <c r="E21" s="6">
        <v>5</v>
      </c>
      <c r="F21" s="6">
        <v>100</v>
      </c>
      <c r="G21" s="6" t="s">
        <v>894</v>
      </c>
      <c r="H21" s="8" t="s">
        <v>258</v>
      </c>
    </row>
    <row r="22" spans="1:8" x14ac:dyDescent="0.2">
      <c r="A22" s="6" t="s">
        <v>927</v>
      </c>
      <c r="B22" s="6" t="s">
        <v>928</v>
      </c>
      <c r="C22" s="6" t="s">
        <v>286</v>
      </c>
      <c r="D22" s="13">
        <v>18</v>
      </c>
      <c r="E22" s="6">
        <v>3</v>
      </c>
      <c r="F22" s="6">
        <v>60</v>
      </c>
      <c r="G22" s="6" t="s">
        <v>894</v>
      </c>
      <c r="H22" s="8" t="s">
        <v>258</v>
      </c>
    </row>
    <row r="23" spans="1:8" x14ac:dyDescent="0.2">
      <c r="A23" s="6" t="s">
        <v>929</v>
      </c>
      <c r="B23" s="6" t="s">
        <v>930</v>
      </c>
      <c r="C23" s="6" t="s">
        <v>290</v>
      </c>
      <c r="D23" s="13">
        <v>55000</v>
      </c>
      <c r="E23" s="6">
        <v>38000</v>
      </c>
      <c r="F23" s="6">
        <v>85000</v>
      </c>
      <c r="G23" s="6" t="s">
        <v>894</v>
      </c>
      <c r="H23" s="8" t="s">
        <v>258</v>
      </c>
    </row>
    <row r="24" spans="1:8" x14ac:dyDescent="0.2">
      <c r="A24" s="6" t="s">
        <v>931</v>
      </c>
      <c r="B24" s="6" t="s">
        <v>932</v>
      </c>
      <c r="C24" s="6" t="s">
        <v>290</v>
      </c>
      <c r="D24" s="13">
        <v>52000</v>
      </c>
      <c r="E24" s="6">
        <v>35000</v>
      </c>
      <c r="F24" s="6">
        <v>75000</v>
      </c>
      <c r="G24" s="6" t="s">
        <v>894</v>
      </c>
      <c r="H24" s="8" t="s">
        <v>258</v>
      </c>
    </row>
    <row r="25" spans="1:8" x14ac:dyDescent="0.2">
      <c r="A25" s="6" t="s">
        <v>933</v>
      </c>
      <c r="B25" s="6" t="s">
        <v>934</v>
      </c>
      <c r="C25" s="6" t="s">
        <v>33</v>
      </c>
      <c r="D25" s="9">
        <v>0.45</v>
      </c>
      <c r="E25" s="6">
        <v>0.2</v>
      </c>
      <c r="F25" s="6">
        <v>0.7</v>
      </c>
      <c r="G25" s="6" t="s">
        <v>894</v>
      </c>
      <c r="H25" s="8" t="s">
        <v>258</v>
      </c>
    </row>
    <row r="26" spans="1:8" x14ac:dyDescent="0.2">
      <c r="A26" s="6" t="s">
        <v>935</v>
      </c>
      <c r="B26" s="6" t="s">
        <v>936</v>
      </c>
      <c r="C26" s="6" t="s">
        <v>264</v>
      </c>
      <c r="D26" s="7">
        <v>2.4</v>
      </c>
      <c r="E26" s="6">
        <v>1.8</v>
      </c>
      <c r="F26" s="6">
        <v>3.5</v>
      </c>
      <c r="G26" s="6" t="s">
        <v>894</v>
      </c>
      <c r="H26" s="8" t="s">
        <v>258</v>
      </c>
    </row>
    <row r="27" spans="1:8" x14ac:dyDescent="0.2">
      <c r="A27" s="6" t="s">
        <v>937</v>
      </c>
      <c r="B27" s="6" t="s">
        <v>938</v>
      </c>
      <c r="C27" s="6" t="s">
        <v>784</v>
      </c>
      <c r="D27" s="13">
        <v>30</v>
      </c>
      <c r="E27" s="6">
        <v>25</v>
      </c>
      <c r="F27" s="6">
        <v>40</v>
      </c>
      <c r="G27" s="6" t="s">
        <v>894</v>
      </c>
      <c r="H27" s="8" t="s">
        <v>258</v>
      </c>
    </row>
    <row r="28" spans="1:8" x14ac:dyDescent="0.2">
      <c r="A28" s="6" t="s">
        <v>939</v>
      </c>
      <c r="B28" s="6" t="s">
        <v>786</v>
      </c>
      <c r="C28" s="6" t="s">
        <v>55</v>
      </c>
      <c r="D28" s="13">
        <v>80</v>
      </c>
      <c r="E28" s="6">
        <v>15</v>
      </c>
      <c r="F28" s="6">
        <v>400</v>
      </c>
      <c r="G28" s="6" t="s">
        <v>894</v>
      </c>
      <c r="H28" s="8" t="s">
        <v>258</v>
      </c>
    </row>
    <row r="29" spans="1:8" x14ac:dyDescent="0.2">
      <c r="A29" s="6" t="s">
        <v>940</v>
      </c>
      <c r="B29" s="6" t="s">
        <v>301</v>
      </c>
      <c r="C29" s="6" t="s">
        <v>302</v>
      </c>
      <c r="D29" s="13">
        <v>35</v>
      </c>
      <c r="E29" s="6">
        <v>5</v>
      </c>
      <c r="F29" s="6">
        <v>200</v>
      </c>
      <c r="G29" s="6" t="s">
        <v>894</v>
      </c>
      <c r="H29" s="8" t="s">
        <v>258</v>
      </c>
    </row>
    <row r="30" spans="1:8" x14ac:dyDescent="0.2">
      <c r="A30" s="6" t="s">
        <v>941</v>
      </c>
      <c r="B30" s="6" t="s">
        <v>304</v>
      </c>
      <c r="C30" s="6" t="s">
        <v>85</v>
      </c>
      <c r="D30" s="13">
        <v>7</v>
      </c>
      <c r="E30" s="6">
        <v>5</v>
      </c>
      <c r="F30" s="6">
        <v>15</v>
      </c>
      <c r="G30" s="6" t="s">
        <v>894</v>
      </c>
      <c r="H30" s="8" t="s">
        <v>258</v>
      </c>
    </row>
    <row r="32" spans="1:8" ht="18" customHeight="1" x14ac:dyDescent="0.2">
      <c r="A32" s="18" t="s">
        <v>305</v>
      </c>
      <c r="B32" s="18"/>
      <c r="C32" s="18"/>
      <c r="D32" s="18"/>
      <c r="E32" s="18"/>
      <c r="F32" s="18"/>
      <c r="G32" s="18"/>
      <c r="H32" s="18"/>
    </row>
    <row r="33" spans="1:8" ht="30" customHeight="1" x14ac:dyDescent="0.2">
      <c r="A33" s="5" t="s">
        <v>252</v>
      </c>
      <c r="B33" s="5" t="s">
        <v>253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25</v>
      </c>
    </row>
    <row r="34" spans="1:8" x14ac:dyDescent="0.2">
      <c r="A34" s="6" t="s">
        <v>942</v>
      </c>
      <c r="B34" s="6" t="s">
        <v>943</v>
      </c>
      <c r="C34" s="6" t="s">
        <v>270</v>
      </c>
      <c r="D34" s="13">
        <v>3</v>
      </c>
      <c r="E34" s="6">
        <v>2</v>
      </c>
      <c r="F34" s="6">
        <v>3</v>
      </c>
      <c r="G34" s="6" t="s">
        <v>944</v>
      </c>
      <c r="H34" s="8" t="s">
        <v>258</v>
      </c>
    </row>
    <row r="35" spans="1:8" ht="28" x14ac:dyDescent="0.2">
      <c r="A35" s="6" t="s">
        <v>945</v>
      </c>
      <c r="B35" s="6" t="s">
        <v>946</v>
      </c>
      <c r="C35" s="6" t="s">
        <v>273</v>
      </c>
      <c r="D35" s="12">
        <v>16</v>
      </c>
      <c r="E35" s="6">
        <v>8</v>
      </c>
      <c r="F35" s="6">
        <v>24</v>
      </c>
      <c r="G35" s="6" t="s">
        <v>947</v>
      </c>
      <c r="H35" s="8" t="s">
        <v>38</v>
      </c>
    </row>
    <row r="36" spans="1:8" x14ac:dyDescent="0.2">
      <c r="A36" s="6" t="s">
        <v>948</v>
      </c>
      <c r="B36" s="6" t="s">
        <v>949</v>
      </c>
      <c r="C36" s="6" t="s">
        <v>28</v>
      </c>
      <c r="D36" s="11">
        <v>1.8</v>
      </c>
      <c r="E36" s="6">
        <v>1.2</v>
      </c>
      <c r="F36" s="6">
        <v>2.5</v>
      </c>
      <c r="G36" s="6" t="s">
        <v>950</v>
      </c>
      <c r="H36" s="8" t="s">
        <v>38</v>
      </c>
    </row>
    <row r="37" spans="1:8" ht="28" x14ac:dyDescent="0.2">
      <c r="A37" s="6" t="s">
        <v>951</v>
      </c>
      <c r="B37" s="6" t="s">
        <v>952</v>
      </c>
      <c r="C37" s="6" t="s">
        <v>308</v>
      </c>
      <c r="D37" s="21">
        <f>Med_feedings*Med_food_points*2</f>
        <v>108</v>
      </c>
      <c r="E37" s="6"/>
      <c r="F37" s="6"/>
      <c r="G37" s="6" t="s">
        <v>309</v>
      </c>
      <c r="H37" s="8" t="s">
        <v>310</v>
      </c>
    </row>
    <row r="38" spans="1:8" x14ac:dyDescent="0.2">
      <c r="A38" s="6" t="s">
        <v>953</v>
      </c>
      <c r="B38" s="6" t="s">
        <v>954</v>
      </c>
      <c r="C38" s="6" t="s">
        <v>308</v>
      </c>
      <c r="D38" s="21">
        <f>Med_linen_points*Med_linen_freq*2</f>
        <v>46.800000000000004</v>
      </c>
      <c r="E38" s="6"/>
      <c r="F38" s="6"/>
      <c r="G38" s="6" t="s">
        <v>309</v>
      </c>
      <c r="H38" s="8" t="s">
        <v>310</v>
      </c>
    </row>
    <row r="39" spans="1:8" x14ac:dyDescent="0.2">
      <c r="A39" s="6" t="s">
        <v>955</v>
      </c>
      <c r="B39" s="6" t="s">
        <v>956</v>
      </c>
      <c r="C39" s="6" t="s">
        <v>308</v>
      </c>
      <c r="D39" s="21">
        <f>Med_waste_points*Med_waste_freq*2</f>
        <v>80</v>
      </c>
      <c r="E39" s="6"/>
      <c r="F39" s="6"/>
      <c r="G39" s="6" t="s">
        <v>309</v>
      </c>
      <c r="H39" s="8" t="s">
        <v>310</v>
      </c>
    </row>
    <row r="40" spans="1:8" x14ac:dyDescent="0.2">
      <c r="A40" s="6" t="s">
        <v>957</v>
      </c>
      <c r="B40" s="6" t="s">
        <v>958</v>
      </c>
      <c r="C40" s="6" t="s">
        <v>308</v>
      </c>
      <c r="D40" s="21">
        <f>Med_supplies_trips</f>
        <v>45</v>
      </c>
      <c r="E40" s="6"/>
      <c r="F40" s="6"/>
      <c r="G40" s="6" t="s">
        <v>320</v>
      </c>
      <c r="H40" s="8" t="s">
        <v>310</v>
      </c>
    </row>
    <row r="41" spans="1:8" x14ac:dyDescent="0.2">
      <c r="A41" s="6" t="s">
        <v>959</v>
      </c>
      <c r="B41" s="6" t="s">
        <v>960</v>
      </c>
      <c r="C41" s="6" t="s">
        <v>308</v>
      </c>
      <c r="D41" s="21">
        <f>Med_ops_food+Med_ops_linen+Med_ops_waste+Med_ops_supplies</f>
        <v>279.8</v>
      </c>
      <c r="E41" s="6"/>
      <c r="F41" s="6"/>
      <c r="G41" s="6" t="s">
        <v>375</v>
      </c>
      <c r="H41" s="8" t="s">
        <v>310</v>
      </c>
    </row>
    <row r="42" spans="1:8" x14ac:dyDescent="0.2">
      <c r="A42" s="6" t="s">
        <v>961</v>
      </c>
      <c r="B42" s="6" t="s">
        <v>316</v>
      </c>
      <c r="C42" s="6" t="s">
        <v>317</v>
      </c>
      <c r="D42" s="22">
        <f>Med_ops_day/Med_hours_day*Med_peak_k</f>
        <v>31.477500000000003</v>
      </c>
      <c r="E42" s="6"/>
      <c r="F42" s="6"/>
      <c r="G42" s="6" t="s">
        <v>375</v>
      </c>
      <c r="H42" s="8" t="s">
        <v>310</v>
      </c>
    </row>
    <row r="43" spans="1:8" ht="28" x14ac:dyDescent="0.2">
      <c r="A43" s="6" t="s">
        <v>962</v>
      </c>
      <c r="B43" s="6" t="s">
        <v>802</v>
      </c>
      <c r="C43" s="6" t="s">
        <v>33</v>
      </c>
      <c r="D43" s="10">
        <v>0.9</v>
      </c>
      <c r="E43" s="6">
        <v>0.5</v>
      </c>
      <c r="F43" s="6">
        <v>1</v>
      </c>
      <c r="G43" s="6" t="s">
        <v>963</v>
      </c>
      <c r="H43" s="8" t="s">
        <v>38</v>
      </c>
    </row>
    <row r="44" spans="1:8" x14ac:dyDescent="0.2">
      <c r="A44" s="6" t="s">
        <v>964</v>
      </c>
      <c r="B44" s="6" t="s">
        <v>965</v>
      </c>
      <c r="C44" s="6" t="s">
        <v>295</v>
      </c>
      <c r="D44" s="19">
        <f>MAX(Med_cart_mass,Med_linen_mass)</f>
        <v>120</v>
      </c>
      <c r="E44" s="6"/>
      <c r="F44" s="6"/>
      <c r="G44" s="6" t="s">
        <v>309</v>
      </c>
      <c r="H44" s="8" t="s">
        <v>310</v>
      </c>
    </row>
    <row r="45" spans="1:8" x14ac:dyDescent="0.2">
      <c r="A45" s="6" t="s">
        <v>966</v>
      </c>
      <c r="B45" s="6" t="s">
        <v>967</v>
      </c>
      <c r="C45" s="6" t="s">
        <v>323</v>
      </c>
      <c r="D45" s="12">
        <v>0</v>
      </c>
      <c r="E45" s="6">
        <v>0</v>
      </c>
      <c r="F45" s="6">
        <v>1</v>
      </c>
      <c r="G45" s="6" t="s">
        <v>808</v>
      </c>
      <c r="H45" s="8" t="s">
        <v>38</v>
      </c>
    </row>
    <row r="46" spans="1:8" x14ac:dyDescent="0.2">
      <c r="A46" s="6" t="s">
        <v>968</v>
      </c>
      <c r="B46" s="6" t="s">
        <v>969</v>
      </c>
      <c r="C46" s="6" t="s">
        <v>264</v>
      </c>
      <c r="D46" s="19">
        <f>Med_L_food</f>
        <v>180</v>
      </c>
      <c r="E46" s="6"/>
      <c r="F46" s="6"/>
      <c r="G46" s="6" t="s">
        <v>320</v>
      </c>
      <c r="H46" s="8" t="s">
        <v>310</v>
      </c>
    </row>
    <row r="47" spans="1:8" ht="28" x14ac:dyDescent="0.2">
      <c r="A47" s="6" t="s">
        <v>970</v>
      </c>
      <c r="B47" s="6" t="s">
        <v>971</v>
      </c>
      <c r="C47" s="6" t="s">
        <v>330</v>
      </c>
      <c r="D47" s="11">
        <v>1</v>
      </c>
      <c r="E47" s="6">
        <v>0.5</v>
      </c>
      <c r="F47" s="6">
        <v>1.5</v>
      </c>
      <c r="G47" s="6" t="s">
        <v>972</v>
      </c>
      <c r="H47" s="8" t="s">
        <v>38</v>
      </c>
    </row>
    <row r="48" spans="1:8" ht="28" x14ac:dyDescent="0.2">
      <c r="A48" s="6" t="s">
        <v>973</v>
      </c>
      <c r="B48" s="6" t="s">
        <v>974</v>
      </c>
      <c r="C48" s="6" t="s">
        <v>33</v>
      </c>
      <c r="D48" s="10">
        <v>0.8</v>
      </c>
      <c r="E48" s="6">
        <v>0</v>
      </c>
      <c r="F48" s="6">
        <v>1</v>
      </c>
      <c r="G48" s="6" t="s">
        <v>975</v>
      </c>
      <c r="H48" s="8" t="s">
        <v>38</v>
      </c>
    </row>
    <row r="49" spans="1:8" ht="28" x14ac:dyDescent="0.2">
      <c r="A49" s="6" t="s">
        <v>976</v>
      </c>
      <c r="B49" s="6" t="s">
        <v>977</v>
      </c>
      <c r="C49" s="6" t="s">
        <v>337</v>
      </c>
      <c r="D49" s="12">
        <v>180</v>
      </c>
      <c r="E49" s="6">
        <v>60</v>
      </c>
      <c r="F49" s="6">
        <v>600</v>
      </c>
      <c r="G49" s="6" t="s">
        <v>978</v>
      </c>
      <c r="H49" s="8" t="s">
        <v>38</v>
      </c>
    </row>
    <row r="50" spans="1:8" x14ac:dyDescent="0.2">
      <c r="A50" s="6" t="s">
        <v>979</v>
      </c>
      <c r="B50" s="6" t="s">
        <v>980</v>
      </c>
      <c r="C50" s="6" t="s">
        <v>264</v>
      </c>
      <c r="D50" s="22">
        <f>Med_corridor</f>
        <v>2.4</v>
      </c>
      <c r="E50" s="6"/>
      <c r="F50" s="6"/>
      <c r="G50" s="6" t="s">
        <v>320</v>
      </c>
      <c r="H50" s="8" t="s">
        <v>310</v>
      </c>
    </row>
    <row r="51" spans="1:8" x14ac:dyDescent="0.2">
      <c r="A51" s="6" t="s">
        <v>981</v>
      </c>
      <c r="B51" s="6" t="s">
        <v>982</v>
      </c>
      <c r="C51" s="6" t="s">
        <v>264</v>
      </c>
      <c r="D51" s="11">
        <v>0.9</v>
      </c>
      <c r="E51" s="6">
        <v>0.5</v>
      </c>
      <c r="F51" s="6">
        <v>1.5</v>
      </c>
      <c r="G51" s="6" t="s">
        <v>983</v>
      </c>
      <c r="H51" s="8" t="s">
        <v>38</v>
      </c>
    </row>
    <row r="52" spans="1:8" x14ac:dyDescent="0.2">
      <c r="A52" s="6" t="s">
        <v>984</v>
      </c>
      <c r="B52" s="6" t="s">
        <v>985</v>
      </c>
      <c r="C52" s="6" t="s">
        <v>323</v>
      </c>
      <c r="D52" s="13">
        <v>0</v>
      </c>
      <c r="E52" s="6">
        <v>0</v>
      </c>
      <c r="F52" s="6">
        <v>1</v>
      </c>
      <c r="G52" s="6" t="s">
        <v>986</v>
      </c>
      <c r="H52" s="8" t="s">
        <v>258</v>
      </c>
    </row>
    <row r="53" spans="1:8" x14ac:dyDescent="0.2">
      <c r="A53" s="6" t="s">
        <v>987</v>
      </c>
      <c r="B53" s="6" t="s">
        <v>348</v>
      </c>
      <c r="C53" s="6"/>
      <c r="D53" s="16" t="s">
        <v>169</v>
      </c>
      <c r="E53" s="6"/>
      <c r="F53" s="6"/>
      <c r="G53" s="6" t="s">
        <v>349</v>
      </c>
      <c r="H53" s="8" t="s">
        <v>258</v>
      </c>
    </row>
    <row r="54" spans="1:8" ht="28" x14ac:dyDescent="0.2">
      <c r="A54" s="6" t="s">
        <v>988</v>
      </c>
      <c r="B54" s="6" t="s">
        <v>351</v>
      </c>
      <c r="C54" s="6"/>
      <c r="D54" s="15" t="s">
        <v>989</v>
      </c>
      <c r="E54" s="6"/>
      <c r="F54" s="6"/>
      <c r="G54" s="6" t="s">
        <v>990</v>
      </c>
      <c r="H54" s="8" t="s">
        <v>38</v>
      </c>
    </row>
    <row r="55" spans="1:8" ht="28" x14ac:dyDescent="0.2">
      <c r="A55" s="6" t="s">
        <v>991</v>
      </c>
      <c r="B55" s="6" t="s">
        <v>355</v>
      </c>
      <c r="C55" s="6" t="s">
        <v>323</v>
      </c>
      <c r="D55" s="13">
        <v>1</v>
      </c>
      <c r="E55" s="6">
        <v>0</v>
      </c>
      <c r="F55" s="6">
        <v>1</v>
      </c>
      <c r="G55" s="6" t="s">
        <v>356</v>
      </c>
      <c r="H55" s="8" t="s">
        <v>258</v>
      </c>
    </row>
    <row r="56" spans="1:8" ht="28" x14ac:dyDescent="0.2">
      <c r="A56" s="6" t="s">
        <v>992</v>
      </c>
      <c r="B56" s="6" t="s">
        <v>358</v>
      </c>
      <c r="C56" s="6" t="s">
        <v>33</v>
      </c>
      <c r="D56" s="10">
        <v>0.8</v>
      </c>
      <c r="E56" s="6">
        <v>0.5</v>
      </c>
      <c r="F56" s="6">
        <v>0.9</v>
      </c>
      <c r="G56" s="6" t="s">
        <v>359</v>
      </c>
      <c r="H56" s="8" t="s">
        <v>38</v>
      </c>
    </row>
    <row r="57" spans="1:8" x14ac:dyDescent="0.2">
      <c r="A57" s="6" t="s">
        <v>993</v>
      </c>
      <c r="B57" s="6" t="s">
        <v>361</v>
      </c>
      <c r="C57" s="6" t="s">
        <v>33</v>
      </c>
      <c r="D57" s="10">
        <v>0.8</v>
      </c>
      <c r="E57" s="6">
        <v>0.4</v>
      </c>
      <c r="F57" s="6">
        <v>0.9</v>
      </c>
      <c r="G57" s="6" t="s">
        <v>59</v>
      </c>
      <c r="H57" s="8" t="s">
        <v>38</v>
      </c>
    </row>
    <row r="58" spans="1:8" ht="28" x14ac:dyDescent="0.2">
      <c r="A58" s="6" t="s">
        <v>994</v>
      </c>
      <c r="B58" s="6" t="s">
        <v>363</v>
      </c>
      <c r="C58" s="6" t="s">
        <v>33</v>
      </c>
      <c r="D58" s="10">
        <v>0.8</v>
      </c>
      <c r="E58" s="6">
        <v>0.5</v>
      </c>
      <c r="F58" s="6">
        <v>0.9</v>
      </c>
      <c r="G58" s="6" t="s">
        <v>364</v>
      </c>
      <c r="H58" s="8" t="s">
        <v>38</v>
      </c>
    </row>
    <row r="59" spans="1:8" x14ac:dyDescent="0.2">
      <c r="A59" s="6" t="s">
        <v>995</v>
      </c>
      <c r="B59" s="6" t="s">
        <v>366</v>
      </c>
      <c r="C59" s="6" t="s">
        <v>33</v>
      </c>
      <c r="D59" s="10">
        <v>0.5</v>
      </c>
      <c r="E59" s="6">
        <v>0.3</v>
      </c>
      <c r="F59" s="6">
        <v>0.9</v>
      </c>
      <c r="G59" s="6" t="s">
        <v>367</v>
      </c>
      <c r="H59" s="8" t="s">
        <v>38</v>
      </c>
    </row>
    <row r="60" spans="1:8" x14ac:dyDescent="0.2">
      <c r="A60" s="6" t="s">
        <v>996</v>
      </c>
      <c r="B60" s="6" t="s">
        <v>997</v>
      </c>
      <c r="C60" s="6" t="s">
        <v>370</v>
      </c>
      <c r="D60" s="13">
        <v>18</v>
      </c>
      <c r="E60" s="6">
        <v>0</v>
      </c>
      <c r="F60" s="6">
        <v>25</v>
      </c>
      <c r="G60" s="6" t="s">
        <v>998</v>
      </c>
      <c r="H60" s="8" t="s">
        <v>258</v>
      </c>
    </row>
    <row r="61" spans="1:8" ht="28" x14ac:dyDescent="0.2">
      <c r="A61" s="6" t="s">
        <v>999</v>
      </c>
      <c r="B61" s="6" t="s">
        <v>1000</v>
      </c>
      <c r="C61" s="6" t="s">
        <v>33</v>
      </c>
      <c r="D61" s="10">
        <v>0.5</v>
      </c>
      <c r="E61" s="6">
        <v>0.3</v>
      </c>
      <c r="F61" s="6">
        <v>0.8</v>
      </c>
      <c r="G61" s="6" t="s">
        <v>59</v>
      </c>
      <c r="H61" s="8" t="s">
        <v>38</v>
      </c>
    </row>
    <row r="62" spans="1:8" ht="28" x14ac:dyDescent="0.2">
      <c r="A62" s="6" t="s">
        <v>1001</v>
      </c>
      <c r="B62" s="6" t="s">
        <v>1002</v>
      </c>
      <c r="C62" s="6" t="s">
        <v>33</v>
      </c>
      <c r="D62" s="10">
        <v>0.3</v>
      </c>
      <c r="E62" s="6">
        <v>0.1</v>
      </c>
      <c r="F62" s="6">
        <v>0.5</v>
      </c>
      <c r="G62" s="6" t="s">
        <v>1003</v>
      </c>
      <c r="H62" s="8" t="s">
        <v>38</v>
      </c>
    </row>
    <row r="63" spans="1:8" ht="28" x14ac:dyDescent="0.2">
      <c r="A63" s="6" t="s">
        <v>1004</v>
      </c>
      <c r="B63" s="6" t="s">
        <v>1005</v>
      </c>
      <c r="C63" s="6" t="s">
        <v>33</v>
      </c>
      <c r="D63" s="10">
        <v>0.5</v>
      </c>
      <c r="E63" s="6">
        <v>0.3</v>
      </c>
      <c r="F63" s="6">
        <v>0.8</v>
      </c>
      <c r="G63" s="6" t="s">
        <v>59</v>
      </c>
      <c r="H63" s="8" t="s">
        <v>38</v>
      </c>
    </row>
    <row r="64" spans="1:8" ht="28" x14ac:dyDescent="0.2">
      <c r="A64" s="6" t="s">
        <v>1006</v>
      </c>
      <c r="B64" s="6" t="s">
        <v>1007</v>
      </c>
      <c r="C64" s="6" t="s">
        <v>374</v>
      </c>
      <c r="D64" s="21">
        <f>(Med_orderlies*Med_share_orderly+Med_kitchen*Med_share_kitchen+Med_laundry*Med_share_laundry)*Med_auto_share</f>
        <v>44.91</v>
      </c>
      <c r="E64" s="6"/>
      <c r="F64" s="6"/>
      <c r="G64" s="6" t="s">
        <v>375</v>
      </c>
      <c r="H64" s="8" t="s">
        <v>310</v>
      </c>
    </row>
    <row r="65" spans="1:25" x14ac:dyDescent="0.2">
      <c r="A65" s="6" t="s">
        <v>1008</v>
      </c>
      <c r="B65" s="6" t="s">
        <v>380</v>
      </c>
      <c r="C65" s="6" t="s">
        <v>91</v>
      </c>
      <c r="D65" s="24">
        <f>(Med_orderlies*Med_share_orderly*Med_sal_orderly+Med_kitchen*Med_share_kitchen*Med_sal_kitchen+Med_laundry*Med_share_laundry*Med_sal_orderly)*Med_auto_share*12*N_fot</f>
        <v>38237708.880000003</v>
      </c>
      <c r="E65" s="6"/>
      <c r="F65" s="6"/>
      <c r="G65" s="6" t="s">
        <v>1009</v>
      </c>
      <c r="H65" s="8" t="s">
        <v>310</v>
      </c>
    </row>
    <row r="66" spans="1:25" x14ac:dyDescent="0.2">
      <c r="A66" s="6" t="s">
        <v>1010</v>
      </c>
      <c r="B66" s="6" t="s">
        <v>1011</v>
      </c>
      <c r="C66" s="6" t="s">
        <v>91</v>
      </c>
      <c r="D66" s="24">
        <f>(Med_orderlies*Med_share_orderly*Med_sal_orderly+Med_kitchen*Med_share_kitchen*Med_sal_kitchen+Med_laundry*Med_share_laundry*Med_sal_orderly)*12*N_fot</f>
        <v>42486343.200000003</v>
      </c>
      <c r="E66" s="6"/>
      <c r="F66" s="6"/>
      <c r="G66" s="6" t="s">
        <v>375</v>
      </c>
      <c r="H66" s="8" t="s">
        <v>310</v>
      </c>
    </row>
    <row r="67" spans="1:25" x14ac:dyDescent="0.2">
      <c r="A67" s="6" t="s">
        <v>1012</v>
      </c>
      <c r="B67" s="6" t="s">
        <v>847</v>
      </c>
      <c r="C67" s="6" t="s">
        <v>290</v>
      </c>
      <c r="D67" s="19">
        <f>Med_sal_orderly</f>
        <v>55000</v>
      </c>
      <c r="E67" s="6"/>
      <c r="F67" s="6"/>
      <c r="G67" s="6" t="s">
        <v>320</v>
      </c>
      <c r="H67" s="8" t="s">
        <v>310</v>
      </c>
    </row>
    <row r="68" spans="1:25" x14ac:dyDescent="0.2">
      <c r="A68" s="6" t="s">
        <v>1013</v>
      </c>
      <c r="B68" s="6" t="s">
        <v>1014</v>
      </c>
      <c r="C68" s="6" t="s">
        <v>33</v>
      </c>
      <c r="D68" s="20">
        <f>Med_turnover_ds</f>
        <v>0.45</v>
      </c>
      <c r="E68" s="6"/>
      <c r="F68" s="6"/>
      <c r="G68" s="6" t="s">
        <v>320</v>
      </c>
      <c r="H68" s="8" t="s">
        <v>310</v>
      </c>
    </row>
    <row r="69" spans="1:25" x14ac:dyDescent="0.2">
      <c r="A69" s="6" t="s">
        <v>1015</v>
      </c>
      <c r="B69" s="6" t="s">
        <v>850</v>
      </c>
      <c r="C69" s="6" t="s">
        <v>33</v>
      </c>
      <c r="D69" s="67">
        <f>N_loss_k_default</f>
        <v>0.25</v>
      </c>
      <c r="E69" s="6"/>
      <c r="F69" s="6"/>
      <c r="G69" s="6" t="s">
        <v>1016</v>
      </c>
      <c r="H69" s="8" t="s">
        <v>310</v>
      </c>
    </row>
    <row r="70" spans="1:25" ht="28" x14ac:dyDescent="0.2">
      <c r="A70" s="6" t="s">
        <v>1017</v>
      </c>
      <c r="B70" s="6" t="s">
        <v>1018</v>
      </c>
      <c r="C70" s="6" t="s">
        <v>391</v>
      </c>
      <c r="D70" s="12">
        <v>1</v>
      </c>
      <c r="E70" s="6">
        <v>0</v>
      </c>
      <c r="F70" s="6">
        <v>3</v>
      </c>
      <c r="G70" s="6" t="s">
        <v>59</v>
      </c>
      <c r="H70" s="8" t="s">
        <v>38</v>
      </c>
    </row>
    <row r="71" spans="1:25" x14ac:dyDescent="0.2">
      <c r="A71" s="6" t="s">
        <v>1019</v>
      </c>
      <c r="B71" s="6" t="s">
        <v>393</v>
      </c>
      <c r="C71" s="6" t="s">
        <v>290</v>
      </c>
      <c r="D71" s="23">
        <f>Med_sal_orderly</f>
        <v>55000</v>
      </c>
      <c r="E71" s="6"/>
      <c r="F71" s="6"/>
      <c r="G71" s="6" t="s">
        <v>808</v>
      </c>
      <c r="H71" s="8" t="s">
        <v>310</v>
      </c>
    </row>
    <row r="72" spans="1:25" ht="28" x14ac:dyDescent="0.2">
      <c r="A72" s="6" t="s">
        <v>1020</v>
      </c>
      <c r="B72" s="6" t="s">
        <v>1021</v>
      </c>
      <c r="C72" s="6" t="s">
        <v>33</v>
      </c>
      <c r="D72" s="10">
        <v>0.15</v>
      </c>
      <c r="E72" s="6">
        <v>0.05</v>
      </c>
      <c r="F72" s="6">
        <v>0.3</v>
      </c>
      <c r="G72" s="6" t="s">
        <v>1022</v>
      </c>
      <c r="H72" s="8" t="s">
        <v>38</v>
      </c>
    </row>
    <row r="73" spans="1:25" x14ac:dyDescent="0.2">
      <c r="A73" s="6" t="s">
        <v>1023</v>
      </c>
      <c r="B73" s="6" t="s">
        <v>1024</v>
      </c>
      <c r="C73" s="6" t="s">
        <v>51</v>
      </c>
      <c r="D73" s="25">
        <v>2500000</v>
      </c>
      <c r="E73" s="6">
        <v>500000</v>
      </c>
      <c r="F73" s="6">
        <v>8000000</v>
      </c>
      <c r="G73" s="6" t="s">
        <v>59</v>
      </c>
      <c r="H73" s="8" t="s">
        <v>38</v>
      </c>
    </row>
    <row r="74" spans="1:25" ht="28" x14ac:dyDescent="0.2">
      <c r="A74" s="6" t="s">
        <v>1025</v>
      </c>
      <c r="B74" s="6" t="s">
        <v>1026</v>
      </c>
      <c r="C74" s="6" t="s">
        <v>91</v>
      </c>
      <c r="D74" s="68">
        <f>2*365*120</f>
        <v>87600</v>
      </c>
      <c r="E74" s="6"/>
      <c r="F74" s="6"/>
      <c r="G74" s="6" t="s">
        <v>1027</v>
      </c>
      <c r="H74" s="8" t="s">
        <v>310</v>
      </c>
    </row>
    <row r="75" spans="1:25" ht="28" x14ac:dyDescent="0.2">
      <c r="A75" s="6" t="s">
        <v>1028</v>
      </c>
      <c r="B75" s="6" t="s">
        <v>1029</v>
      </c>
      <c r="C75" s="6" t="s">
        <v>91</v>
      </c>
      <c r="D75" s="25">
        <v>0</v>
      </c>
      <c r="E75" s="6">
        <v>0</v>
      </c>
      <c r="F75" s="6"/>
      <c r="G75" s="6" t="s">
        <v>1030</v>
      </c>
      <c r="H75" s="8" t="s">
        <v>38</v>
      </c>
    </row>
    <row r="77" spans="1:25" ht="18" customHeight="1" x14ac:dyDescent="0.2">
      <c r="A77" s="18" t="s">
        <v>406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x14ac:dyDescent="0.2">
      <c r="A78" s="26"/>
      <c r="B78" s="27" t="s">
        <v>407</v>
      </c>
      <c r="C78" s="26"/>
      <c r="D78" s="26"/>
      <c r="E78" s="28" t="s">
        <v>408</v>
      </c>
      <c r="F78" s="29" t="s">
        <v>408</v>
      </c>
      <c r="G78" s="29" t="s">
        <v>408</v>
      </c>
      <c r="H78" s="29" t="s">
        <v>408</v>
      </c>
      <c r="I78" s="29" t="s">
        <v>408</v>
      </c>
      <c r="J78" s="29" t="s">
        <v>408</v>
      </c>
      <c r="K78" s="29" t="s">
        <v>408</v>
      </c>
      <c r="L78" s="28" t="s">
        <v>409</v>
      </c>
      <c r="M78" s="29" t="s">
        <v>409</v>
      </c>
      <c r="N78" s="29" t="s">
        <v>409</v>
      </c>
      <c r="O78" s="29" t="s">
        <v>409</v>
      </c>
      <c r="P78" s="29" t="s">
        <v>409</v>
      </c>
      <c r="Q78" s="29" t="s">
        <v>409</v>
      </c>
      <c r="R78" s="29" t="s">
        <v>409</v>
      </c>
      <c r="S78" s="28" t="s">
        <v>410</v>
      </c>
      <c r="T78" s="29" t="s">
        <v>410</v>
      </c>
      <c r="U78" s="29" t="s">
        <v>410</v>
      </c>
      <c r="V78" s="29" t="s">
        <v>410</v>
      </c>
      <c r="W78" s="29" t="s">
        <v>410</v>
      </c>
      <c r="X78" s="29" t="s">
        <v>410</v>
      </c>
      <c r="Y78" s="29" t="s">
        <v>410</v>
      </c>
    </row>
    <row r="79" spans="1:25" x14ac:dyDescent="0.2">
      <c r="A79" s="26"/>
      <c r="B79" s="27" t="s">
        <v>411</v>
      </c>
      <c r="C79" s="26"/>
      <c r="D79" s="26"/>
      <c r="E79" s="30" t="s">
        <v>195</v>
      </c>
      <c r="F79" s="31" t="s">
        <v>195</v>
      </c>
      <c r="G79" s="31" t="s">
        <v>195</v>
      </c>
      <c r="H79" s="31" t="s">
        <v>195</v>
      </c>
      <c r="I79" s="31" t="s">
        <v>195</v>
      </c>
      <c r="J79" s="31" t="s">
        <v>195</v>
      </c>
      <c r="K79" s="31" t="s">
        <v>195</v>
      </c>
      <c r="L79" s="30" t="s">
        <v>195</v>
      </c>
      <c r="M79" s="31" t="s">
        <v>195</v>
      </c>
      <c r="N79" s="31" t="s">
        <v>195</v>
      </c>
      <c r="O79" s="31" t="s">
        <v>195</v>
      </c>
      <c r="P79" s="31" t="s">
        <v>195</v>
      </c>
      <c r="Q79" s="31" t="s">
        <v>195</v>
      </c>
      <c r="R79" s="31" t="s">
        <v>195</v>
      </c>
      <c r="S79" s="30" t="s">
        <v>200</v>
      </c>
      <c r="T79" s="31" t="s">
        <v>200</v>
      </c>
      <c r="U79" s="31" t="s">
        <v>200</v>
      </c>
      <c r="V79" s="31" t="s">
        <v>200</v>
      </c>
      <c r="W79" s="31" t="s">
        <v>200</v>
      </c>
      <c r="X79" s="31" t="s">
        <v>200</v>
      </c>
      <c r="Y79" s="31" t="s">
        <v>200</v>
      </c>
    </row>
    <row r="80" spans="1:25" x14ac:dyDescent="0.2">
      <c r="A80" s="26"/>
      <c r="B80" s="27" t="s">
        <v>412</v>
      </c>
      <c r="C80" s="26"/>
      <c r="D80" s="26"/>
      <c r="E80" s="30" t="s">
        <v>413</v>
      </c>
      <c r="F80" s="31" t="s">
        <v>413</v>
      </c>
      <c r="G80" s="31" t="s">
        <v>413</v>
      </c>
      <c r="H80" s="31" t="s">
        <v>413</v>
      </c>
      <c r="I80" s="31" t="s">
        <v>413</v>
      </c>
      <c r="J80" s="31" t="s">
        <v>413</v>
      </c>
      <c r="K80" s="31" t="s">
        <v>413</v>
      </c>
      <c r="L80" s="30" t="s">
        <v>414</v>
      </c>
      <c r="M80" s="31" t="s">
        <v>414</v>
      </c>
      <c r="N80" s="31" t="s">
        <v>414</v>
      </c>
      <c r="O80" s="31" t="s">
        <v>414</v>
      </c>
      <c r="P80" s="31" t="s">
        <v>414</v>
      </c>
      <c r="Q80" s="31" t="s">
        <v>414</v>
      </c>
      <c r="R80" s="31" t="s">
        <v>414</v>
      </c>
      <c r="S80" s="30" t="s">
        <v>413</v>
      </c>
      <c r="T80" s="31" t="s">
        <v>413</v>
      </c>
      <c r="U80" s="31" t="s">
        <v>413</v>
      </c>
      <c r="V80" s="31" t="s">
        <v>413</v>
      </c>
      <c r="W80" s="31" t="s">
        <v>413</v>
      </c>
      <c r="X80" s="31" t="s">
        <v>413</v>
      </c>
      <c r="Y80" s="31" t="s">
        <v>413</v>
      </c>
    </row>
    <row r="81" spans="1:25" x14ac:dyDescent="0.2">
      <c r="A81" s="26"/>
      <c r="B81" s="27" t="s">
        <v>415</v>
      </c>
      <c r="C81" s="26"/>
      <c r="D81" s="26"/>
      <c r="E81" s="32">
        <v>1</v>
      </c>
      <c r="F81" s="33">
        <f>1-N_sens</f>
        <v>0.8</v>
      </c>
      <c r="G81" s="33">
        <f>1+N_sens</f>
        <v>1.2</v>
      </c>
      <c r="H81" s="33">
        <v>1</v>
      </c>
      <c r="I81" s="33">
        <v>1</v>
      </c>
      <c r="J81" s="33">
        <v>1</v>
      </c>
      <c r="K81" s="33">
        <v>1</v>
      </c>
      <c r="L81" s="32">
        <v>1</v>
      </c>
      <c r="M81" s="33">
        <f>1-N_sens</f>
        <v>0.8</v>
      </c>
      <c r="N81" s="33">
        <f>1+N_sens</f>
        <v>1.2</v>
      </c>
      <c r="O81" s="33">
        <v>1</v>
      </c>
      <c r="P81" s="33">
        <v>1</v>
      </c>
      <c r="Q81" s="33">
        <v>1</v>
      </c>
      <c r="R81" s="33">
        <v>1</v>
      </c>
      <c r="S81" s="32">
        <v>1</v>
      </c>
      <c r="T81" s="33">
        <f>1-N_sens</f>
        <v>0.8</v>
      </c>
      <c r="U81" s="33">
        <f>1+N_sens</f>
        <v>1.2</v>
      </c>
      <c r="V81" s="33">
        <v>1</v>
      </c>
      <c r="W81" s="33">
        <v>1</v>
      </c>
      <c r="X81" s="33">
        <v>1</v>
      </c>
      <c r="Y81" s="33">
        <v>1</v>
      </c>
    </row>
    <row r="82" spans="1:25" x14ac:dyDescent="0.2">
      <c r="A82" s="26"/>
      <c r="B82" s="27" t="s">
        <v>416</v>
      </c>
      <c r="C82" s="26"/>
      <c r="D82" s="26"/>
      <c r="E82" s="32">
        <v>1</v>
      </c>
      <c r="F82" s="33">
        <v>1</v>
      </c>
      <c r="G82" s="33">
        <v>1</v>
      </c>
      <c r="H82" s="33">
        <f>1-N_sens</f>
        <v>0.8</v>
      </c>
      <c r="I82" s="33">
        <f>1+N_sens</f>
        <v>1.2</v>
      </c>
      <c r="J82" s="33">
        <v>1</v>
      </c>
      <c r="K82" s="33">
        <v>1</v>
      </c>
      <c r="L82" s="32">
        <v>1</v>
      </c>
      <c r="M82" s="33">
        <v>1</v>
      </c>
      <c r="N82" s="33">
        <v>1</v>
      </c>
      <c r="O82" s="33">
        <f>1-N_sens</f>
        <v>0.8</v>
      </c>
      <c r="P82" s="33">
        <f>1+N_sens</f>
        <v>1.2</v>
      </c>
      <c r="Q82" s="33">
        <v>1</v>
      </c>
      <c r="R82" s="33">
        <v>1</v>
      </c>
      <c r="S82" s="32">
        <v>1</v>
      </c>
      <c r="T82" s="33">
        <v>1</v>
      </c>
      <c r="U82" s="33">
        <v>1</v>
      </c>
      <c r="V82" s="33">
        <f>1-N_sens</f>
        <v>0.8</v>
      </c>
      <c r="W82" s="33">
        <f>1+N_sens</f>
        <v>1.2</v>
      </c>
      <c r="X82" s="33">
        <v>1</v>
      </c>
      <c r="Y82" s="33">
        <v>1</v>
      </c>
    </row>
    <row r="83" spans="1:25" x14ac:dyDescent="0.2">
      <c r="A83" s="26"/>
      <c r="B83" s="27" t="s">
        <v>417</v>
      </c>
      <c r="C83" s="26"/>
      <c r="D83" s="26"/>
      <c r="E83" s="32">
        <v>1</v>
      </c>
      <c r="F83" s="33">
        <v>1</v>
      </c>
      <c r="G83" s="33">
        <v>1</v>
      </c>
      <c r="H83" s="33">
        <v>1</v>
      </c>
      <c r="I83" s="33">
        <v>1</v>
      </c>
      <c r="J83" s="33">
        <f>1-N_sens</f>
        <v>0.8</v>
      </c>
      <c r="K83" s="33">
        <f>1+N_sens</f>
        <v>1.2</v>
      </c>
      <c r="L83" s="32">
        <v>1</v>
      </c>
      <c r="M83" s="33">
        <v>1</v>
      </c>
      <c r="N83" s="33">
        <v>1</v>
      </c>
      <c r="O83" s="33">
        <v>1</v>
      </c>
      <c r="P83" s="33">
        <v>1</v>
      </c>
      <c r="Q83" s="33">
        <f>1-N_sens</f>
        <v>0.8</v>
      </c>
      <c r="R83" s="33">
        <f>1+N_sens</f>
        <v>1.2</v>
      </c>
      <c r="S83" s="32">
        <v>1</v>
      </c>
      <c r="T83" s="33">
        <v>1</v>
      </c>
      <c r="U83" s="33">
        <v>1</v>
      </c>
      <c r="V83" s="33">
        <v>1</v>
      </c>
      <c r="W83" s="33">
        <v>1</v>
      </c>
      <c r="X83" s="33">
        <f>1-N_sens</f>
        <v>0.8</v>
      </c>
      <c r="Y83" s="33">
        <f>1+N_sens</f>
        <v>1.2</v>
      </c>
    </row>
    <row r="84" spans="1:25" x14ac:dyDescent="0.2">
      <c r="A84" s="26"/>
      <c r="B84" s="27" t="s">
        <v>418</v>
      </c>
      <c r="C84" s="26"/>
      <c r="D84" s="26"/>
      <c r="E84" s="28" t="s">
        <v>419</v>
      </c>
      <c r="F84" s="29" t="s">
        <v>420</v>
      </c>
      <c r="G84" s="29" t="s">
        <v>421</v>
      </c>
      <c r="H84" s="29" t="s">
        <v>422</v>
      </c>
      <c r="I84" s="29" t="s">
        <v>423</v>
      </c>
      <c r="J84" s="29" t="s">
        <v>424</v>
      </c>
      <c r="K84" s="29" t="s">
        <v>425</v>
      </c>
      <c r="L84" s="28" t="s">
        <v>419</v>
      </c>
      <c r="M84" s="29" t="s">
        <v>420</v>
      </c>
      <c r="N84" s="29" t="s">
        <v>421</v>
      </c>
      <c r="O84" s="29" t="s">
        <v>422</v>
      </c>
      <c r="P84" s="29" t="s">
        <v>423</v>
      </c>
      <c r="Q84" s="29" t="s">
        <v>424</v>
      </c>
      <c r="R84" s="29" t="s">
        <v>425</v>
      </c>
      <c r="S84" s="28" t="s">
        <v>419</v>
      </c>
      <c r="T84" s="29" t="s">
        <v>420</v>
      </c>
      <c r="U84" s="29" t="s">
        <v>421</v>
      </c>
      <c r="V84" s="29" t="s">
        <v>422</v>
      </c>
      <c r="W84" s="29" t="s">
        <v>423</v>
      </c>
      <c r="X84" s="29" t="s">
        <v>424</v>
      </c>
      <c r="Y84" s="29" t="s">
        <v>425</v>
      </c>
    </row>
    <row r="86" spans="1:25" x14ac:dyDescent="0.2">
      <c r="A86" s="26"/>
      <c r="B86" s="27" t="s">
        <v>426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42" x14ac:dyDescent="0.2">
      <c r="A87" s="8" t="s">
        <v>427</v>
      </c>
      <c r="B87" s="6" t="s">
        <v>428</v>
      </c>
      <c r="C87" s="6"/>
      <c r="D87" s="8" t="s">
        <v>1031</v>
      </c>
      <c r="E87" s="6" t="str">
        <f t="shared" ref="E87:Y87" si="0">INDEX(Cat_name,MATCH(E$79,Cat_code,0))</f>
        <v>Ronavi M (AMR для стеллажей/тележек, до 1200 кг)</v>
      </c>
      <c r="F87" s="6" t="str">
        <f t="shared" si="0"/>
        <v>Ronavi M (AMR для стеллажей/тележек, до 1200 кг)</v>
      </c>
      <c r="G87" s="6" t="str">
        <f t="shared" si="0"/>
        <v>Ronavi M (AMR для стеллажей/тележек, до 1200 кг)</v>
      </c>
      <c r="H87" s="6" t="str">
        <f t="shared" si="0"/>
        <v>Ronavi M (AMR для стеллажей/тележек, до 1200 кг)</v>
      </c>
      <c r="I87" s="6" t="str">
        <f t="shared" si="0"/>
        <v>Ronavi M (AMR для стеллажей/тележек, до 1200 кг)</v>
      </c>
      <c r="J87" s="6" t="str">
        <f t="shared" si="0"/>
        <v>Ronavi M (AMR для стеллажей/тележек, до 1200 кг)</v>
      </c>
      <c r="K87" s="6" t="str">
        <f t="shared" si="0"/>
        <v>Ronavi M (AMR для стеллажей/тележек, до 1200 кг)</v>
      </c>
      <c r="L87" s="6" t="str">
        <f t="shared" si="0"/>
        <v>Ronavi M (AMR для стеллажей/тележек, до 1200 кг)</v>
      </c>
      <c r="M87" s="6" t="str">
        <f t="shared" si="0"/>
        <v>Ronavi M (AMR для стеллажей/тележек, до 1200 кг)</v>
      </c>
      <c r="N87" s="6" t="str">
        <f t="shared" si="0"/>
        <v>Ronavi M (AMR для стеллажей/тележек, до 1200 кг)</v>
      </c>
      <c r="O87" s="6" t="str">
        <f t="shared" si="0"/>
        <v>Ronavi M (AMR для стеллажей/тележек, до 1200 кг)</v>
      </c>
      <c r="P87" s="6" t="str">
        <f t="shared" si="0"/>
        <v>Ronavi M (AMR для стеллажей/тележек, до 1200 кг)</v>
      </c>
      <c r="Q87" s="6" t="str">
        <f t="shared" si="0"/>
        <v>Ronavi M (AMR для стеллажей/тележек, до 1200 кг)</v>
      </c>
      <c r="R87" s="6" t="str">
        <f t="shared" si="0"/>
        <v>Ronavi M (AMR для стеллажей/тележек, до 1200 кг)</v>
      </c>
      <c r="S87" s="6" t="str">
        <f t="shared" si="0"/>
        <v>AMR 800 (Морос, до 800 кг)</v>
      </c>
      <c r="T87" s="6" t="str">
        <f t="shared" si="0"/>
        <v>AMR 800 (Морос, до 800 кг)</v>
      </c>
      <c r="U87" s="6" t="str">
        <f t="shared" si="0"/>
        <v>AMR 800 (Морос, до 800 кг)</v>
      </c>
      <c r="V87" s="6" t="str">
        <f t="shared" si="0"/>
        <v>AMR 800 (Морос, до 800 кг)</v>
      </c>
      <c r="W87" s="6" t="str">
        <f t="shared" si="0"/>
        <v>AMR 800 (Морос, до 800 кг)</v>
      </c>
      <c r="X87" s="6" t="str">
        <f t="shared" si="0"/>
        <v>AMR 800 (Морос, до 800 кг)</v>
      </c>
      <c r="Y87" s="6" t="str">
        <f t="shared" si="0"/>
        <v>AMR 800 (Морос, до 800 кг)</v>
      </c>
    </row>
    <row r="88" spans="1:25" x14ac:dyDescent="0.2">
      <c r="A88" s="8" t="s">
        <v>430</v>
      </c>
      <c r="B88" s="6" t="s">
        <v>431</v>
      </c>
      <c r="C88" s="6"/>
      <c r="D88" s="8" t="s">
        <v>1032</v>
      </c>
      <c r="E88" s="6" t="str">
        <f t="shared" ref="E88:Y88" si="1">INDEX(Cat_status,MATCH(E$79,Cat_code,0))</f>
        <v>piloting</v>
      </c>
      <c r="F88" s="6" t="str">
        <f t="shared" si="1"/>
        <v>piloting</v>
      </c>
      <c r="G88" s="6" t="str">
        <f t="shared" si="1"/>
        <v>piloting</v>
      </c>
      <c r="H88" s="6" t="str">
        <f t="shared" si="1"/>
        <v>piloting</v>
      </c>
      <c r="I88" s="6" t="str">
        <f t="shared" si="1"/>
        <v>piloting</v>
      </c>
      <c r="J88" s="6" t="str">
        <f t="shared" si="1"/>
        <v>piloting</v>
      </c>
      <c r="K88" s="6" t="str">
        <f t="shared" si="1"/>
        <v>piloting</v>
      </c>
      <c r="L88" s="6" t="str">
        <f t="shared" si="1"/>
        <v>piloting</v>
      </c>
      <c r="M88" s="6" t="str">
        <f t="shared" si="1"/>
        <v>piloting</v>
      </c>
      <c r="N88" s="6" t="str">
        <f t="shared" si="1"/>
        <v>piloting</v>
      </c>
      <c r="O88" s="6" t="str">
        <f t="shared" si="1"/>
        <v>piloting</v>
      </c>
      <c r="P88" s="6" t="str">
        <f t="shared" si="1"/>
        <v>piloting</v>
      </c>
      <c r="Q88" s="6" t="str">
        <f t="shared" si="1"/>
        <v>piloting</v>
      </c>
      <c r="R88" s="6" t="str">
        <f t="shared" si="1"/>
        <v>piloting</v>
      </c>
      <c r="S88" s="6" t="str">
        <f t="shared" si="1"/>
        <v>operation</v>
      </c>
      <c r="T88" s="6" t="str">
        <f t="shared" si="1"/>
        <v>operation</v>
      </c>
      <c r="U88" s="6" t="str">
        <f t="shared" si="1"/>
        <v>operation</v>
      </c>
      <c r="V88" s="6" t="str">
        <f t="shared" si="1"/>
        <v>operation</v>
      </c>
      <c r="W88" s="6" t="str">
        <f t="shared" si="1"/>
        <v>operation</v>
      </c>
      <c r="X88" s="6" t="str">
        <f t="shared" si="1"/>
        <v>operation</v>
      </c>
      <c r="Y88" s="6" t="str">
        <f t="shared" si="1"/>
        <v>operation</v>
      </c>
    </row>
    <row r="89" spans="1:25" x14ac:dyDescent="0.2">
      <c r="A89" s="8" t="s">
        <v>433</v>
      </c>
      <c r="B89" s="6" t="s">
        <v>157</v>
      </c>
      <c r="C89" s="6"/>
      <c r="D89" s="8" t="s">
        <v>1033</v>
      </c>
      <c r="E89" s="6" t="str">
        <f t="shared" ref="E89:Y89" si="2">INDEX(Cat_conf,MATCH(E$79,Cat_code,0))</f>
        <v>Частично</v>
      </c>
      <c r="F89" s="6" t="str">
        <f t="shared" si="2"/>
        <v>Частично</v>
      </c>
      <c r="G89" s="6" t="str">
        <f t="shared" si="2"/>
        <v>Частично</v>
      </c>
      <c r="H89" s="6" t="str">
        <f t="shared" si="2"/>
        <v>Частично</v>
      </c>
      <c r="I89" s="6" t="str">
        <f t="shared" si="2"/>
        <v>Частично</v>
      </c>
      <c r="J89" s="6" t="str">
        <f t="shared" si="2"/>
        <v>Частично</v>
      </c>
      <c r="K89" s="6" t="str">
        <f t="shared" si="2"/>
        <v>Частично</v>
      </c>
      <c r="L89" s="6" t="str">
        <f t="shared" si="2"/>
        <v>Частично</v>
      </c>
      <c r="M89" s="6" t="str">
        <f t="shared" si="2"/>
        <v>Частично</v>
      </c>
      <c r="N89" s="6" t="str">
        <f t="shared" si="2"/>
        <v>Частично</v>
      </c>
      <c r="O89" s="6" t="str">
        <f t="shared" si="2"/>
        <v>Частично</v>
      </c>
      <c r="P89" s="6" t="str">
        <f t="shared" si="2"/>
        <v>Частично</v>
      </c>
      <c r="Q89" s="6" t="str">
        <f t="shared" si="2"/>
        <v>Частично</v>
      </c>
      <c r="R89" s="6" t="str">
        <f t="shared" si="2"/>
        <v>Частично</v>
      </c>
      <c r="S89" s="6" t="str">
        <f t="shared" si="2"/>
        <v>Частично</v>
      </c>
      <c r="T89" s="6" t="str">
        <f t="shared" si="2"/>
        <v>Частично</v>
      </c>
      <c r="U89" s="6" t="str">
        <f t="shared" si="2"/>
        <v>Частично</v>
      </c>
      <c r="V89" s="6" t="str">
        <f t="shared" si="2"/>
        <v>Частично</v>
      </c>
      <c r="W89" s="6" t="str">
        <f t="shared" si="2"/>
        <v>Частично</v>
      </c>
      <c r="X89" s="6" t="str">
        <f t="shared" si="2"/>
        <v>Частично</v>
      </c>
      <c r="Y89" s="6" t="str">
        <f t="shared" si="2"/>
        <v>Частично</v>
      </c>
    </row>
    <row r="90" spans="1:25" x14ac:dyDescent="0.2">
      <c r="A90" s="8" t="s">
        <v>435</v>
      </c>
      <c r="B90" s="6" t="s">
        <v>436</v>
      </c>
      <c r="C90" s="6" t="s">
        <v>51</v>
      </c>
      <c r="D90" s="8" t="s">
        <v>1034</v>
      </c>
      <c r="E90" s="34">
        <f t="shared" ref="E90:Y90" si="3">INDEX(Cat_price,MATCH(E$79,Cat_code,0))</f>
        <v>2400000</v>
      </c>
      <c r="F90" s="34">
        <f t="shared" si="3"/>
        <v>2400000</v>
      </c>
      <c r="G90" s="34">
        <f t="shared" si="3"/>
        <v>2400000</v>
      </c>
      <c r="H90" s="34">
        <f t="shared" si="3"/>
        <v>2400000</v>
      </c>
      <c r="I90" s="34">
        <f t="shared" si="3"/>
        <v>2400000</v>
      </c>
      <c r="J90" s="34">
        <f t="shared" si="3"/>
        <v>2400000</v>
      </c>
      <c r="K90" s="34">
        <f t="shared" si="3"/>
        <v>2400000</v>
      </c>
      <c r="L90" s="34">
        <f t="shared" si="3"/>
        <v>2400000</v>
      </c>
      <c r="M90" s="34">
        <f t="shared" si="3"/>
        <v>2400000</v>
      </c>
      <c r="N90" s="34">
        <f t="shared" si="3"/>
        <v>2400000</v>
      </c>
      <c r="O90" s="34">
        <f t="shared" si="3"/>
        <v>2400000</v>
      </c>
      <c r="P90" s="34">
        <f t="shared" si="3"/>
        <v>2400000</v>
      </c>
      <c r="Q90" s="34">
        <f t="shared" si="3"/>
        <v>2400000</v>
      </c>
      <c r="R90" s="34">
        <f t="shared" si="3"/>
        <v>2400000</v>
      </c>
      <c r="S90" s="34">
        <f t="shared" si="3"/>
        <v>1800000</v>
      </c>
      <c r="T90" s="34">
        <f t="shared" si="3"/>
        <v>1800000</v>
      </c>
      <c r="U90" s="34">
        <f t="shared" si="3"/>
        <v>1800000</v>
      </c>
      <c r="V90" s="34">
        <f t="shared" si="3"/>
        <v>1800000</v>
      </c>
      <c r="W90" s="34">
        <f t="shared" si="3"/>
        <v>1800000</v>
      </c>
      <c r="X90" s="34">
        <f t="shared" si="3"/>
        <v>1800000</v>
      </c>
      <c r="Y90" s="34">
        <f t="shared" si="3"/>
        <v>1800000</v>
      </c>
    </row>
    <row r="91" spans="1:25" x14ac:dyDescent="0.2">
      <c r="A91" s="8" t="s">
        <v>438</v>
      </c>
      <c r="B91" s="6" t="s">
        <v>439</v>
      </c>
      <c r="C91" s="6" t="s">
        <v>51</v>
      </c>
      <c r="D91" s="8" t="s">
        <v>1035</v>
      </c>
      <c r="E91" s="34">
        <f t="shared" ref="E91:Y91" si="4">E90*E$81</f>
        <v>2400000</v>
      </c>
      <c r="F91" s="34">
        <f t="shared" si="4"/>
        <v>1920000</v>
      </c>
      <c r="G91" s="34">
        <f t="shared" si="4"/>
        <v>2880000</v>
      </c>
      <c r="H91" s="34">
        <f t="shared" si="4"/>
        <v>2400000</v>
      </c>
      <c r="I91" s="34">
        <f t="shared" si="4"/>
        <v>2400000</v>
      </c>
      <c r="J91" s="34">
        <f t="shared" si="4"/>
        <v>2400000</v>
      </c>
      <c r="K91" s="34">
        <f t="shared" si="4"/>
        <v>2400000</v>
      </c>
      <c r="L91" s="34">
        <f t="shared" si="4"/>
        <v>2400000</v>
      </c>
      <c r="M91" s="34">
        <f t="shared" si="4"/>
        <v>1920000</v>
      </c>
      <c r="N91" s="34">
        <f t="shared" si="4"/>
        <v>2880000</v>
      </c>
      <c r="O91" s="34">
        <f t="shared" si="4"/>
        <v>2400000</v>
      </c>
      <c r="P91" s="34">
        <f t="shared" si="4"/>
        <v>2400000</v>
      </c>
      <c r="Q91" s="34">
        <f t="shared" si="4"/>
        <v>2400000</v>
      </c>
      <c r="R91" s="34">
        <f t="shared" si="4"/>
        <v>2400000</v>
      </c>
      <c r="S91" s="34">
        <f t="shared" si="4"/>
        <v>1800000</v>
      </c>
      <c r="T91" s="34">
        <f t="shared" si="4"/>
        <v>1440000</v>
      </c>
      <c r="U91" s="34">
        <f t="shared" si="4"/>
        <v>2160000</v>
      </c>
      <c r="V91" s="34">
        <f t="shared" si="4"/>
        <v>1800000</v>
      </c>
      <c r="W91" s="34">
        <f t="shared" si="4"/>
        <v>1800000</v>
      </c>
      <c r="X91" s="34">
        <f t="shared" si="4"/>
        <v>1800000</v>
      </c>
      <c r="Y91" s="34">
        <f t="shared" si="4"/>
        <v>1800000</v>
      </c>
    </row>
    <row r="92" spans="1:25" x14ac:dyDescent="0.2">
      <c r="A92" s="8" t="s">
        <v>441</v>
      </c>
      <c r="B92" s="6" t="s">
        <v>442</v>
      </c>
      <c r="C92" s="6" t="s">
        <v>295</v>
      </c>
      <c r="D92" s="8" t="s">
        <v>1036</v>
      </c>
      <c r="E92" s="35">
        <f t="shared" ref="E92:Y92" si="5">INDEX(Cat_cap,MATCH(E$79,Cat_code,0))</f>
        <v>1200</v>
      </c>
      <c r="F92" s="35">
        <f t="shared" si="5"/>
        <v>1200</v>
      </c>
      <c r="G92" s="35">
        <f t="shared" si="5"/>
        <v>1200</v>
      </c>
      <c r="H92" s="35">
        <f t="shared" si="5"/>
        <v>1200</v>
      </c>
      <c r="I92" s="35">
        <f t="shared" si="5"/>
        <v>1200</v>
      </c>
      <c r="J92" s="35">
        <f t="shared" si="5"/>
        <v>1200</v>
      </c>
      <c r="K92" s="35">
        <f t="shared" si="5"/>
        <v>1200</v>
      </c>
      <c r="L92" s="35">
        <f t="shared" si="5"/>
        <v>1200</v>
      </c>
      <c r="M92" s="35">
        <f t="shared" si="5"/>
        <v>1200</v>
      </c>
      <c r="N92" s="35">
        <f t="shared" si="5"/>
        <v>1200</v>
      </c>
      <c r="O92" s="35">
        <f t="shared" si="5"/>
        <v>1200</v>
      </c>
      <c r="P92" s="35">
        <f t="shared" si="5"/>
        <v>1200</v>
      </c>
      <c r="Q92" s="35">
        <f t="shared" si="5"/>
        <v>1200</v>
      </c>
      <c r="R92" s="35">
        <f t="shared" si="5"/>
        <v>1200</v>
      </c>
      <c r="S92" s="35">
        <f t="shared" si="5"/>
        <v>800</v>
      </c>
      <c r="T92" s="35">
        <f t="shared" si="5"/>
        <v>800</v>
      </c>
      <c r="U92" s="35">
        <f t="shared" si="5"/>
        <v>800</v>
      </c>
      <c r="V92" s="35">
        <f t="shared" si="5"/>
        <v>800</v>
      </c>
      <c r="W92" s="35">
        <f t="shared" si="5"/>
        <v>800</v>
      </c>
      <c r="X92" s="35">
        <f t="shared" si="5"/>
        <v>800</v>
      </c>
      <c r="Y92" s="35">
        <f t="shared" si="5"/>
        <v>800</v>
      </c>
    </row>
    <row r="93" spans="1:25" x14ac:dyDescent="0.2">
      <c r="A93" s="8" t="s">
        <v>444</v>
      </c>
      <c r="B93" s="6" t="s">
        <v>445</v>
      </c>
      <c r="C93" s="6" t="s">
        <v>330</v>
      </c>
      <c r="D93" s="8" t="s">
        <v>1037</v>
      </c>
      <c r="E93" s="36">
        <f t="shared" ref="E93:Y93" si="6">INDEX(Cat_vmax,MATCH(E$79,Cat_code,0))</f>
        <v>1.5</v>
      </c>
      <c r="F93" s="36">
        <f t="shared" si="6"/>
        <v>1.5</v>
      </c>
      <c r="G93" s="36">
        <f t="shared" si="6"/>
        <v>1.5</v>
      </c>
      <c r="H93" s="36">
        <f t="shared" si="6"/>
        <v>1.5</v>
      </c>
      <c r="I93" s="36">
        <f t="shared" si="6"/>
        <v>1.5</v>
      </c>
      <c r="J93" s="36">
        <f t="shared" si="6"/>
        <v>1.5</v>
      </c>
      <c r="K93" s="36">
        <f t="shared" si="6"/>
        <v>1.5</v>
      </c>
      <c r="L93" s="36">
        <f t="shared" si="6"/>
        <v>1.5</v>
      </c>
      <c r="M93" s="36">
        <f t="shared" si="6"/>
        <v>1.5</v>
      </c>
      <c r="N93" s="36">
        <f t="shared" si="6"/>
        <v>1.5</v>
      </c>
      <c r="O93" s="36">
        <f t="shared" si="6"/>
        <v>1.5</v>
      </c>
      <c r="P93" s="36">
        <f t="shared" si="6"/>
        <v>1.5</v>
      </c>
      <c r="Q93" s="36">
        <f t="shared" si="6"/>
        <v>1.5</v>
      </c>
      <c r="R93" s="36">
        <f t="shared" si="6"/>
        <v>1.5</v>
      </c>
      <c r="S93" s="36">
        <f t="shared" si="6"/>
        <v>1.5</v>
      </c>
      <c r="T93" s="36">
        <f t="shared" si="6"/>
        <v>1.5</v>
      </c>
      <c r="U93" s="36">
        <f t="shared" si="6"/>
        <v>1.5</v>
      </c>
      <c r="V93" s="36">
        <f t="shared" si="6"/>
        <v>1.5</v>
      </c>
      <c r="W93" s="36">
        <f t="shared" si="6"/>
        <v>1.5</v>
      </c>
      <c r="X93" s="36">
        <f t="shared" si="6"/>
        <v>1.5</v>
      </c>
      <c r="Y93" s="36">
        <f t="shared" si="6"/>
        <v>1.5</v>
      </c>
    </row>
    <row r="94" spans="1:25" x14ac:dyDescent="0.2">
      <c r="A94" s="8" t="s">
        <v>447</v>
      </c>
      <c r="B94" s="6" t="s">
        <v>448</v>
      </c>
      <c r="C94" s="6" t="s">
        <v>337</v>
      </c>
      <c r="D94" s="8" t="s">
        <v>1038</v>
      </c>
      <c r="E94" s="35">
        <f t="shared" ref="E94:Y94" si="7">INDEX(Cat_tload,MATCH(E$79,Cat_code,0))</f>
        <v>45</v>
      </c>
      <c r="F94" s="35">
        <f t="shared" si="7"/>
        <v>45</v>
      </c>
      <c r="G94" s="35">
        <f t="shared" si="7"/>
        <v>45</v>
      </c>
      <c r="H94" s="35">
        <f t="shared" si="7"/>
        <v>45</v>
      </c>
      <c r="I94" s="35">
        <f t="shared" si="7"/>
        <v>45</v>
      </c>
      <c r="J94" s="35">
        <f t="shared" si="7"/>
        <v>45</v>
      </c>
      <c r="K94" s="35">
        <f t="shared" si="7"/>
        <v>45</v>
      </c>
      <c r="L94" s="35">
        <f t="shared" si="7"/>
        <v>45</v>
      </c>
      <c r="M94" s="35">
        <f t="shared" si="7"/>
        <v>45</v>
      </c>
      <c r="N94" s="35">
        <f t="shared" si="7"/>
        <v>45</v>
      </c>
      <c r="O94" s="35">
        <f t="shared" si="7"/>
        <v>45</v>
      </c>
      <c r="P94" s="35">
        <f t="shared" si="7"/>
        <v>45</v>
      </c>
      <c r="Q94" s="35">
        <f t="shared" si="7"/>
        <v>45</v>
      </c>
      <c r="R94" s="35">
        <f t="shared" si="7"/>
        <v>45</v>
      </c>
      <c r="S94" s="35">
        <f t="shared" si="7"/>
        <v>45</v>
      </c>
      <c r="T94" s="35">
        <f t="shared" si="7"/>
        <v>45</v>
      </c>
      <c r="U94" s="35">
        <f t="shared" si="7"/>
        <v>45</v>
      </c>
      <c r="V94" s="35">
        <f t="shared" si="7"/>
        <v>45</v>
      </c>
      <c r="W94" s="35">
        <f t="shared" si="7"/>
        <v>45</v>
      </c>
      <c r="X94" s="35">
        <f t="shared" si="7"/>
        <v>45</v>
      </c>
      <c r="Y94" s="35">
        <f t="shared" si="7"/>
        <v>45</v>
      </c>
    </row>
    <row r="95" spans="1:25" x14ac:dyDescent="0.2">
      <c r="A95" s="8" t="s">
        <v>450</v>
      </c>
      <c r="B95" s="6" t="s">
        <v>451</v>
      </c>
      <c r="C95" s="6" t="s">
        <v>337</v>
      </c>
      <c r="D95" s="8" t="s">
        <v>1039</v>
      </c>
      <c r="E95" s="35">
        <f t="shared" ref="E95:Y95" si="8">INDEX(Cat_tunload,MATCH(E$79,Cat_code,0))</f>
        <v>45</v>
      </c>
      <c r="F95" s="35">
        <f t="shared" si="8"/>
        <v>45</v>
      </c>
      <c r="G95" s="35">
        <f t="shared" si="8"/>
        <v>45</v>
      </c>
      <c r="H95" s="35">
        <f t="shared" si="8"/>
        <v>45</v>
      </c>
      <c r="I95" s="35">
        <f t="shared" si="8"/>
        <v>45</v>
      </c>
      <c r="J95" s="35">
        <f t="shared" si="8"/>
        <v>45</v>
      </c>
      <c r="K95" s="35">
        <f t="shared" si="8"/>
        <v>45</v>
      </c>
      <c r="L95" s="35">
        <f t="shared" si="8"/>
        <v>45</v>
      </c>
      <c r="M95" s="35">
        <f t="shared" si="8"/>
        <v>45</v>
      </c>
      <c r="N95" s="35">
        <f t="shared" si="8"/>
        <v>45</v>
      </c>
      <c r="O95" s="35">
        <f t="shared" si="8"/>
        <v>45</v>
      </c>
      <c r="P95" s="35">
        <f t="shared" si="8"/>
        <v>45</v>
      </c>
      <c r="Q95" s="35">
        <f t="shared" si="8"/>
        <v>45</v>
      </c>
      <c r="R95" s="35">
        <f t="shared" si="8"/>
        <v>45</v>
      </c>
      <c r="S95" s="35">
        <f t="shared" si="8"/>
        <v>45</v>
      </c>
      <c r="T95" s="35">
        <f t="shared" si="8"/>
        <v>45</v>
      </c>
      <c r="U95" s="35">
        <f t="shared" si="8"/>
        <v>45</v>
      </c>
      <c r="V95" s="35">
        <f t="shared" si="8"/>
        <v>45</v>
      </c>
      <c r="W95" s="35">
        <f t="shared" si="8"/>
        <v>45</v>
      </c>
      <c r="X95" s="35">
        <f t="shared" si="8"/>
        <v>45</v>
      </c>
      <c r="Y95" s="35">
        <f t="shared" si="8"/>
        <v>45</v>
      </c>
    </row>
    <row r="96" spans="1:25" x14ac:dyDescent="0.2">
      <c r="A96" s="8" t="s">
        <v>453</v>
      </c>
      <c r="B96" s="6" t="s">
        <v>454</v>
      </c>
      <c r="C96" s="6" t="s">
        <v>55</v>
      </c>
      <c r="D96" s="8" t="s">
        <v>1040</v>
      </c>
      <c r="E96" s="36">
        <f t="shared" ref="E96:Y96" si="9">INDEX(Cat_power,MATCH(E$79,Cat_code,0))</f>
        <v>1</v>
      </c>
      <c r="F96" s="36">
        <f t="shared" si="9"/>
        <v>1</v>
      </c>
      <c r="G96" s="36">
        <f t="shared" si="9"/>
        <v>1</v>
      </c>
      <c r="H96" s="36">
        <f t="shared" si="9"/>
        <v>1</v>
      </c>
      <c r="I96" s="36">
        <f t="shared" si="9"/>
        <v>1</v>
      </c>
      <c r="J96" s="36">
        <f t="shared" si="9"/>
        <v>1</v>
      </c>
      <c r="K96" s="36">
        <f t="shared" si="9"/>
        <v>1</v>
      </c>
      <c r="L96" s="36">
        <f t="shared" si="9"/>
        <v>1</v>
      </c>
      <c r="M96" s="36">
        <f t="shared" si="9"/>
        <v>1</v>
      </c>
      <c r="N96" s="36">
        <f t="shared" si="9"/>
        <v>1</v>
      </c>
      <c r="O96" s="36">
        <f t="shared" si="9"/>
        <v>1</v>
      </c>
      <c r="P96" s="36">
        <f t="shared" si="9"/>
        <v>1</v>
      </c>
      <c r="Q96" s="36">
        <f t="shared" si="9"/>
        <v>1</v>
      </c>
      <c r="R96" s="36">
        <f t="shared" si="9"/>
        <v>1</v>
      </c>
      <c r="S96" s="36">
        <f t="shared" si="9"/>
        <v>1</v>
      </c>
      <c r="T96" s="36">
        <f t="shared" si="9"/>
        <v>1</v>
      </c>
      <c r="U96" s="36">
        <f t="shared" si="9"/>
        <v>1</v>
      </c>
      <c r="V96" s="36">
        <f t="shared" si="9"/>
        <v>1</v>
      </c>
      <c r="W96" s="36">
        <f t="shared" si="9"/>
        <v>1</v>
      </c>
      <c r="X96" s="36">
        <f t="shared" si="9"/>
        <v>1</v>
      </c>
      <c r="Y96" s="36">
        <f t="shared" si="9"/>
        <v>1</v>
      </c>
    </row>
    <row r="97" spans="1:25" x14ac:dyDescent="0.2">
      <c r="A97" s="8" t="s">
        <v>456</v>
      </c>
      <c r="B97" s="6" t="s">
        <v>153</v>
      </c>
      <c r="C97" s="6"/>
      <c r="D97" s="8" t="s">
        <v>1041</v>
      </c>
      <c r="E97" s="6" t="str">
        <f t="shared" ref="E97:Y97" si="10">INDEX(Cat_handling,MATCH(E$79,Cat_code,0))</f>
        <v>платформа</v>
      </c>
      <c r="F97" s="6" t="str">
        <f t="shared" si="10"/>
        <v>платформа</v>
      </c>
      <c r="G97" s="6" t="str">
        <f t="shared" si="10"/>
        <v>платформа</v>
      </c>
      <c r="H97" s="6" t="str">
        <f t="shared" si="10"/>
        <v>платформа</v>
      </c>
      <c r="I97" s="6" t="str">
        <f t="shared" si="10"/>
        <v>платформа</v>
      </c>
      <c r="J97" s="6" t="str">
        <f t="shared" si="10"/>
        <v>платформа</v>
      </c>
      <c r="K97" s="6" t="str">
        <f t="shared" si="10"/>
        <v>платформа</v>
      </c>
      <c r="L97" s="6" t="str">
        <f t="shared" si="10"/>
        <v>платформа</v>
      </c>
      <c r="M97" s="6" t="str">
        <f t="shared" si="10"/>
        <v>платформа</v>
      </c>
      <c r="N97" s="6" t="str">
        <f t="shared" si="10"/>
        <v>платформа</v>
      </c>
      <c r="O97" s="6" t="str">
        <f t="shared" si="10"/>
        <v>платформа</v>
      </c>
      <c r="P97" s="6" t="str">
        <f t="shared" si="10"/>
        <v>платформа</v>
      </c>
      <c r="Q97" s="6" t="str">
        <f t="shared" si="10"/>
        <v>платформа</v>
      </c>
      <c r="R97" s="6" t="str">
        <f t="shared" si="10"/>
        <v>платформа</v>
      </c>
      <c r="S97" s="6" t="str">
        <f t="shared" si="10"/>
        <v>платформа</v>
      </c>
      <c r="T97" s="6" t="str">
        <f t="shared" si="10"/>
        <v>платформа</v>
      </c>
      <c r="U97" s="6" t="str">
        <f t="shared" si="10"/>
        <v>платформа</v>
      </c>
      <c r="V97" s="6" t="str">
        <f t="shared" si="10"/>
        <v>платформа</v>
      </c>
      <c r="W97" s="6" t="str">
        <f t="shared" si="10"/>
        <v>платформа</v>
      </c>
      <c r="X97" s="6" t="str">
        <f t="shared" si="10"/>
        <v>платформа</v>
      </c>
      <c r="Y97" s="6" t="str">
        <f t="shared" si="10"/>
        <v>платформа</v>
      </c>
    </row>
    <row r="98" spans="1:25" x14ac:dyDescent="0.2">
      <c r="A98" s="8" t="s">
        <v>458</v>
      </c>
      <c r="B98" s="6" t="s">
        <v>459</v>
      </c>
      <c r="C98" s="6" t="s">
        <v>323</v>
      </c>
      <c r="D98" s="8" t="s">
        <v>1042</v>
      </c>
      <c r="E98" s="35">
        <f t="shared" ref="E98:Y98" si="11">INDEX(Cat_indoor,MATCH(E$79,Cat_code,0))</f>
        <v>1</v>
      </c>
      <c r="F98" s="35">
        <f t="shared" si="11"/>
        <v>1</v>
      </c>
      <c r="G98" s="35">
        <f t="shared" si="11"/>
        <v>1</v>
      </c>
      <c r="H98" s="35">
        <f t="shared" si="11"/>
        <v>1</v>
      </c>
      <c r="I98" s="35">
        <f t="shared" si="11"/>
        <v>1</v>
      </c>
      <c r="J98" s="35">
        <f t="shared" si="11"/>
        <v>1</v>
      </c>
      <c r="K98" s="35">
        <f t="shared" si="11"/>
        <v>1</v>
      </c>
      <c r="L98" s="35">
        <f t="shared" si="11"/>
        <v>1</v>
      </c>
      <c r="M98" s="35">
        <f t="shared" si="11"/>
        <v>1</v>
      </c>
      <c r="N98" s="35">
        <f t="shared" si="11"/>
        <v>1</v>
      </c>
      <c r="O98" s="35">
        <f t="shared" si="11"/>
        <v>1</v>
      </c>
      <c r="P98" s="35">
        <f t="shared" si="11"/>
        <v>1</v>
      </c>
      <c r="Q98" s="35">
        <f t="shared" si="11"/>
        <v>1</v>
      </c>
      <c r="R98" s="35">
        <f t="shared" si="11"/>
        <v>1</v>
      </c>
      <c r="S98" s="35">
        <f t="shared" si="11"/>
        <v>1</v>
      </c>
      <c r="T98" s="35">
        <f t="shared" si="11"/>
        <v>1</v>
      </c>
      <c r="U98" s="35">
        <f t="shared" si="11"/>
        <v>1</v>
      </c>
      <c r="V98" s="35">
        <f t="shared" si="11"/>
        <v>1</v>
      </c>
      <c r="W98" s="35">
        <f t="shared" si="11"/>
        <v>1</v>
      </c>
      <c r="X98" s="35">
        <f t="shared" si="11"/>
        <v>1</v>
      </c>
      <c r="Y98" s="35">
        <f t="shared" si="11"/>
        <v>1</v>
      </c>
    </row>
    <row r="99" spans="1:25" x14ac:dyDescent="0.2">
      <c r="A99" s="8" t="s">
        <v>461</v>
      </c>
      <c r="B99" s="6" t="s">
        <v>462</v>
      </c>
      <c r="C99" s="6"/>
      <c r="D99" s="8" t="s">
        <v>1043</v>
      </c>
      <c r="E99" s="6" t="str">
        <f t="shared" ref="E99:Y99" si="12">INDEX(Cat_task,MATCH(E$79,Cat_code,0))</f>
        <v>транспорт</v>
      </c>
      <c r="F99" s="6" t="str">
        <f t="shared" si="12"/>
        <v>транспорт</v>
      </c>
      <c r="G99" s="6" t="str">
        <f t="shared" si="12"/>
        <v>транспорт</v>
      </c>
      <c r="H99" s="6" t="str">
        <f t="shared" si="12"/>
        <v>транспорт</v>
      </c>
      <c r="I99" s="6" t="str">
        <f t="shared" si="12"/>
        <v>транспорт</v>
      </c>
      <c r="J99" s="6" t="str">
        <f t="shared" si="12"/>
        <v>транспорт</v>
      </c>
      <c r="K99" s="6" t="str">
        <f t="shared" si="12"/>
        <v>транспорт</v>
      </c>
      <c r="L99" s="6" t="str">
        <f t="shared" si="12"/>
        <v>транспорт</v>
      </c>
      <c r="M99" s="6" t="str">
        <f t="shared" si="12"/>
        <v>транспорт</v>
      </c>
      <c r="N99" s="6" t="str">
        <f t="shared" si="12"/>
        <v>транспорт</v>
      </c>
      <c r="O99" s="6" t="str">
        <f t="shared" si="12"/>
        <v>транспорт</v>
      </c>
      <c r="P99" s="6" t="str">
        <f t="shared" si="12"/>
        <v>транспорт</v>
      </c>
      <c r="Q99" s="6" t="str">
        <f t="shared" si="12"/>
        <v>транспорт</v>
      </c>
      <c r="R99" s="6" t="str">
        <f t="shared" si="12"/>
        <v>транспорт</v>
      </c>
      <c r="S99" s="6" t="str">
        <f t="shared" si="12"/>
        <v>транспорт</v>
      </c>
      <c r="T99" s="6" t="str">
        <f t="shared" si="12"/>
        <v>транспорт</v>
      </c>
      <c r="U99" s="6" t="str">
        <f t="shared" si="12"/>
        <v>транспорт</v>
      </c>
      <c r="V99" s="6" t="str">
        <f t="shared" si="12"/>
        <v>транспорт</v>
      </c>
      <c r="W99" s="6" t="str">
        <f t="shared" si="12"/>
        <v>транспорт</v>
      </c>
      <c r="X99" s="6" t="str">
        <f t="shared" si="12"/>
        <v>транспорт</v>
      </c>
      <c r="Y99" s="6" t="str">
        <f t="shared" si="12"/>
        <v>транспорт</v>
      </c>
    </row>
    <row r="100" spans="1:25" ht="52" x14ac:dyDescent="0.2">
      <c r="A100" s="8" t="s">
        <v>464</v>
      </c>
      <c r="B100" s="6" t="s">
        <v>465</v>
      </c>
      <c r="C100" s="6" t="s">
        <v>33</v>
      </c>
      <c r="D100" s="8" t="s">
        <v>1044</v>
      </c>
      <c r="E100" s="36">
        <f t="shared" ref="E100:Y100" si="13">IF(E97="вилы",Med_repl_forks,IF(E97="платформа",Med_repl_platform,IF(E97="буксировка",Med_repl_tow,IF(E97="кузов",Med_repl_body,0))))</f>
        <v>0.8</v>
      </c>
      <c r="F100" s="36">
        <f t="shared" si="13"/>
        <v>0.8</v>
      </c>
      <c r="G100" s="36">
        <f t="shared" si="13"/>
        <v>0.8</v>
      </c>
      <c r="H100" s="36">
        <f t="shared" si="13"/>
        <v>0.8</v>
      </c>
      <c r="I100" s="36">
        <f t="shared" si="13"/>
        <v>0.8</v>
      </c>
      <c r="J100" s="36">
        <f t="shared" si="13"/>
        <v>0.8</v>
      </c>
      <c r="K100" s="36">
        <f t="shared" si="13"/>
        <v>0.8</v>
      </c>
      <c r="L100" s="36">
        <f t="shared" si="13"/>
        <v>0.8</v>
      </c>
      <c r="M100" s="36">
        <f t="shared" si="13"/>
        <v>0.8</v>
      </c>
      <c r="N100" s="36">
        <f t="shared" si="13"/>
        <v>0.8</v>
      </c>
      <c r="O100" s="36">
        <f t="shared" si="13"/>
        <v>0.8</v>
      </c>
      <c r="P100" s="36">
        <f t="shared" si="13"/>
        <v>0.8</v>
      </c>
      <c r="Q100" s="36">
        <f t="shared" si="13"/>
        <v>0.8</v>
      </c>
      <c r="R100" s="36">
        <f t="shared" si="13"/>
        <v>0.8</v>
      </c>
      <c r="S100" s="36">
        <f t="shared" si="13"/>
        <v>0.8</v>
      </c>
      <c r="T100" s="36">
        <f t="shared" si="13"/>
        <v>0.8</v>
      </c>
      <c r="U100" s="36">
        <f t="shared" si="13"/>
        <v>0.8</v>
      </c>
      <c r="V100" s="36">
        <f t="shared" si="13"/>
        <v>0.8</v>
      </c>
      <c r="W100" s="36">
        <f t="shared" si="13"/>
        <v>0.8</v>
      </c>
      <c r="X100" s="36">
        <f t="shared" si="13"/>
        <v>0.8</v>
      </c>
      <c r="Y100" s="36">
        <f t="shared" si="13"/>
        <v>0.8</v>
      </c>
    </row>
    <row r="101" spans="1:25" x14ac:dyDescent="0.2">
      <c r="A101" s="8" t="s">
        <v>467</v>
      </c>
      <c r="B101" s="6" t="s">
        <v>468</v>
      </c>
      <c r="C101" s="6" t="s">
        <v>469</v>
      </c>
      <c r="D101" s="8" t="s">
        <v>1045</v>
      </c>
      <c r="E101" s="35">
        <f t="shared" ref="E101:Y101" si="14">INDEX(Cat_wid,MATCH(E$79,Cat_code,0))</f>
        <v>654</v>
      </c>
      <c r="F101" s="35">
        <f t="shared" si="14"/>
        <v>654</v>
      </c>
      <c r="G101" s="35">
        <f t="shared" si="14"/>
        <v>654</v>
      </c>
      <c r="H101" s="35">
        <f t="shared" si="14"/>
        <v>654</v>
      </c>
      <c r="I101" s="35">
        <f t="shared" si="14"/>
        <v>654</v>
      </c>
      <c r="J101" s="35">
        <f t="shared" si="14"/>
        <v>654</v>
      </c>
      <c r="K101" s="35">
        <f t="shared" si="14"/>
        <v>654</v>
      </c>
      <c r="L101" s="35">
        <f t="shared" si="14"/>
        <v>654</v>
      </c>
      <c r="M101" s="35">
        <f t="shared" si="14"/>
        <v>654</v>
      </c>
      <c r="N101" s="35">
        <f t="shared" si="14"/>
        <v>654</v>
      </c>
      <c r="O101" s="35">
        <f t="shared" si="14"/>
        <v>654</v>
      </c>
      <c r="P101" s="35">
        <f t="shared" si="14"/>
        <v>654</v>
      </c>
      <c r="Q101" s="35">
        <f t="shared" si="14"/>
        <v>654</v>
      </c>
      <c r="R101" s="35">
        <f t="shared" si="14"/>
        <v>654</v>
      </c>
      <c r="S101" s="35">
        <f t="shared" si="14"/>
        <v>600</v>
      </c>
      <c r="T101" s="35">
        <f t="shared" si="14"/>
        <v>600</v>
      </c>
      <c r="U101" s="35">
        <f t="shared" si="14"/>
        <v>600</v>
      </c>
      <c r="V101" s="35">
        <f t="shared" si="14"/>
        <v>600</v>
      </c>
      <c r="W101" s="35">
        <f t="shared" si="14"/>
        <v>600</v>
      </c>
      <c r="X101" s="35">
        <f t="shared" si="14"/>
        <v>600</v>
      </c>
      <c r="Y101" s="35">
        <f t="shared" si="14"/>
        <v>600</v>
      </c>
    </row>
    <row r="102" spans="1:25" x14ac:dyDescent="0.2">
      <c r="A102" s="8" t="s">
        <v>471</v>
      </c>
      <c r="B102" s="6" t="s">
        <v>472</v>
      </c>
      <c r="C102" s="6" t="s">
        <v>370</v>
      </c>
      <c r="D102" s="8" t="s">
        <v>1046</v>
      </c>
      <c r="E102" s="35">
        <f t="shared" ref="E102:Y102" si="15">INDEX(Cat_tmin,MATCH(E$79,Cat_code,0))</f>
        <v>5</v>
      </c>
      <c r="F102" s="35">
        <f t="shared" si="15"/>
        <v>5</v>
      </c>
      <c r="G102" s="35">
        <f t="shared" si="15"/>
        <v>5</v>
      </c>
      <c r="H102" s="35">
        <f t="shared" si="15"/>
        <v>5</v>
      </c>
      <c r="I102" s="35">
        <f t="shared" si="15"/>
        <v>5</v>
      </c>
      <c r="J102" s="35">
        <f t="shared" si="15"/>
        <v>5</v>
      </c>
      <c r="K102" s="35">
        <f t="shared" si="15"/>
        <v>5</v>
      </c>
      <c r="L102" s="35">
        <f t="shared" si="15"/>
        <v>5</v>
      </c>
      <c r="M102" s="35">
        <f t="shared" si="15"/>
        <v>5</v>
      </c>
      <c r="N102" s="35">
        <f t="shared" si="15"/>
        <v>5</v>
      </c>
      <c r="O102" s="35">
        <f t="shared" si="15"/>
        <v>5</v>
      </c>
      <c r="P102" s="35">
        <f t="shared" si="15"/>
        <v>5</v>
      </c>
      <c r="Q102" s="35">
        <f t="shared" si="15"/>
        <v>5</v>
      </c>
      <c r="R102" s="35">
        <f t="shared" si="15"/>
        <v>5</v>
      </c>
      <c r="S102" s="35">
        <f t="shared" si="15"/>
        <v>5</v>
      </c>
      <c r="T102" s="35">
        <f t="shared" si="15"/>
        <v>5</v>
      </c>
      <c r="U102" s="35">
        <f t="shared" si="15"/>
        <v>5</v>
      </c>
      <c r="V102" s="35">
        <f t="shared" si="15"/>
        <v>5</v>
      </c>
      <c r="W102" s="35">
        <f t="shared" si="15"/>
        <v>5</v>
      </c>
      <c r="X102" s="35">
        <f t="shared" si="15"/>
        <v>5</v>
      </c>
      <c r="Y102" s="35">
        <f t="shared" si="15"/>
        <v>5</v>
      </c>
    </row>
    <row r="103" spans="1:25" x14ac:dyDescent="0.2">
      <c r="A103" s="8" t="s">
        <v>474</v>
      </c>
      <c r="B103" s="6" t="s">
        <v>475</v>
      </c>
      <c r="C103" s="6" t="s">
        <v>323</v>
      </c>
      <c r="D103" s="8" t="s">
        <v>1047</v>
      </c>
      <c r="E103" s="35">
        <f t="shared" ref="E103:Y103" si="16">INDEX(Cat_outdoor,MATCH(E$79,Cat_code,0))</f>
        <v>0</v>
      </c>
      <c r="F103" s="35">
        <f t="shared" si="16"/>
        <v>0</v>
      </c>
      <c r="G103" s="35">
        <f t="shared" si="16"/>
        <v>0</v>
      </c>
      <c r="H103" s="35">
        <f t="shared" si="16"/>
        <v>0</v>
      </c>
      <c r="I103" s="35">
        <f t="shared" si="16"/>
        <v>0</v>
      </c>
      <c r="J103" s="35">
        <f t="shared" si="16"/>
        <v>0</v>
      </c>
      <c r="K103" s="35">
        <f t="shared" si="16"/>
        <v>0</v>
      </c>
      <c r="L103" s="35">
        <f t="shared" si="16"/>
        <v>0</v>
      </c>
      <c r="M103" s="35">
        <f t="shared" si="16"/>
        <v>0</v>
      </c>
      <c r="N103" s="35">
        <f t="shared" si="16"/>
        <v>0</v>
      </c>
      <c r="O103" s="35">
        <f t="shared" si="16"/>
        <v>0</v>
      </c>
      <c r="P103" s="35">
        <f t="shared" si="16"/>
        <v>0</v>
      </c>
      <c r="Q103" s="35">
        <f t="shared" si="16"/>
        <v>0</v>
      </c>
      <c r="R103" s="35">
        <f t="shared" si="16"/>
        <v>0</v>
      </c>
      <c r="S103" s="35">
        <f t="shared" si="16"/>
        <v>0</v>
      </c>
      <c r="T103" s="35">
        <f t="shared" si="16"/>
        <v>0</v>
      </c>
      <c r="U103" s="35">
        <f t="shared" si="16"/>
        <v>0</v>
      </c>
      <c r="V103" s="35">
        <f t="shared" si="16"/>
        <v>0</v>
      </c>
      <c r="W103" s="35">
        <f t="shared" si="16"/>
        <v>0</v>
      </c>
      <c r="X103" s="35">
        <f t="shared" si="16"/>
        <v>0</v>
      </c>
      <c r="Y103" s="35">
        <f t="shared" si="16"/>
        <v>0</v>
      </c>
    </row>
    <row r="104" spans="1:25" x14ac:dyDescent="0.2">
      <c r="A104" s="26"/>
      <c r="B104" s="27" t="s">
        <v>477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x14ac:dyDescent="0.2">
      <c r="A105" s="8" t="s">
        <v>478</v>
      </c>
      <c r="B105" s="6" t="s">
        <v>479</v>
      </c>
      <c r="C105" s="6"/>
      <c r="D105" s="8" t="s">
        <v>1048</v>
      </c>
      <c r="E105" s="6" t="str">
        <f t="shared" ref="E105:Y105" si="17">IF(E99=Med_task_class,"ОК","НЕТ")</f>
        <v>ОК</v>
      </c>
      <c r="F105" s="6" t="str">
        <f t="shared" si="17"/>
        <v>ОК</v>
      </c>
      <c r="G105" s="6" t="str">
        <f t="shared" si="17"/>
        <v>ОК</v>
      </c>
      <c r="H105" s="6" t="str">
        <f t="shared" si="17"/>
        <v>ОК</v>
      </c>
      <c r="I105" s="6" t="str">
        <f t="shared" si="17"/>
        <v>ОК</v>
      </c>
      <c r="J105" s="6" t="str">
        <f t="shared" si="17"/>
        <v>ОК</v>
      </c>
      <c r="K105" s="6" t="str">
        <f t="shared" si="17"/>
        <v>ОК</v>
      </c>
      <c r="L105" s="6" t="str">
        <f t="shared" si="17"/>
        <v>ОК</v>
      </c>
      <c r="M105" s="6" t="str">
        <f t="shared" si="17"/>
        <v>ОК</v>
      </c>
      <c r="N105" s="6" t="str">
        <f t="shared" si="17"/>
        <v>ОК</v>
      </c>
      <c r="O105" s="6" t="str">
        <f t="shared" si="17"/>
        <v>ОК</v>
      </c>
      <c r="P105" s="6" t="str">
        <f t="shared" si="17"/>
        <v>ОК</v>
      </c>
      <c r="Q105" s="6" t="str">
        <f t="shared" si="17"/>
        <v>ОК</v>
      </c>
      <c r="R105" s="6" t="str">
        <f t="shared" si="17"/>
        <v>ОК</v>
      </c>
      <c r="S105" s="6" t="str">
        <f t="shared" si="17"/>
        <v>ОК</v>
      </c>
      <c r="T105" s="6" t="str">
        <f t="shared" si="17"/>
        <v>ОК</v>
      </c>
      <c r="U105" s="6" t="str">
        <f t="shared" si="17"/>
        <v>ОК</v>
      </c>
      <c r="V105" s="6" t="str">
        <f t="shared" si="17"/>
        <v>ОК</v>
      </c>
      <c r="W105" s="6" t="str">
        <f t="shared" si="17"/>
        <v>ОК</v>
      </c>
      <c r="X105" s="6" t="str">
        <f t="shared" si="17"/>
        <v>ОК</v>
      </c>
      <c r="Y105" s="6" t="str">
        <f t="shared" si="17"/>
        <v>ОК</v>
      </c>
    </row>
    <row r="106" spans="1:25" ht="26" x14ac:dyDescent="0.2">
      <c r="A106" s="8" t="s">
        <v>481</v>
      </c>
      <c r="B106" s="6" t="s">
        <v>482</v>
      </c>
      <c r="C106" s="6"/>
      <c r="D106" s="8" t="s">
        <v>1049</v>
      </c>
      <c r="E106" s="6" t="str">
        <f t="shared" ref="E106:Y106" si="18">IF(ISNUMBER(SEARCH(E97,Med_handling_req)),"ОК","НЕТ")</f>
        <v>ОК</v>
      </c>
      <c r="F106" s="6" t="str">
        <f t="shared" si="18"/>
        <v>ОК</v>
      </c>
      <c r="G106" s="6" t="str">
        <f t="shared" si="18"/>
        <v>ОК</v>
      </c>
      <c r="H106" s="6" t="str">
        <f t="shared" si="18"/>
        <v>ОК</v>
      </c>
      <c r="I106" s="6" t="str">
        <f t="shared" si="18"/>
        <v>ОК</v>
      </c>
      <c r="J106" s="6" t="str">
        <f t="shared" si="18"/>
        <v>ОК</v>
      </c>
      <c r="K106" s="6" t="str">
        <f t="shared" si="18"/>
        <v>ОК</v>
      </c>
      <c r="L106" s="6" t="str">
        <f t="shared" si="18"/>
        <v>ОК</v>
      </c>
      <c r="M106" s="6" t="str">
        <f t="shared" si="18"/>
        <v>ОК</v>
      </c>
      <c r="N106" s="6" t="str">
        <f t="shared" si="18"/>
        <v>ОК</v>
      </c>
      <c r="O106" s="6" t="str">
        <f t="shared" si="18"/>
        <v>ОК</v>
      </c>
      <c r="P106" s="6" t="str">
        <f t="shared" si="18"/>
        <v>ОК</v>
      </c>
      <c r="Q106" s="6" t="str">
        <f t="shared" si="18"/>
        <v>ОК</v>
      </c>
      <c r="R106" s="6" t="str">
        <f t="shared" si="18"/>
        <v>ОК</v>
      </c>
      <c r="S106" s="6" t="str">
        <f t="shared" si="18"/>
        <v>ОК</v>
      </c>
      <c r="T106" s="6" t="str">
        <f t="shared" si="18"/>
        <v>ОК</v>
      </c>
      <c r="U106" s="6" t="str">
        <f t="shared" si="18"/>
        <v>ОК</v>
      </c>
      <c r="V106" s="6" t="str">
        <f t="shared" si="18"/>
        <v>ОК</v>
      </c>
      <c r="W106" s="6" t="str">
        <f t="shared" si="18"/>
        <v>ОК</v>
      </c>
      <c r="X106" s="6" t="str">
        <f t="shared" si="18"/>
        <v>ОК</v>
      </c>
      <c r="Y106" s="6" t="str">
        <f t="shared" si="18"/>
        <v>ОК</v>
      </c>
    </row>
    <row r="107" spans="1:25" x14ac:dyDescent="0.2">
      <c r="A107" s="8" t="s">
        <v>484</v>
      </c>
      <c r="B107" s="6" t="s">
        <v>485</v>
      </c>
      <c r="C107" s="6"/>
      <c r="D107" s="8" t="s">
        <v>1050</v>
      </c>
      <c r="E107" s="6" t="str">
        <f t="shared" ref="E107:Y107" si="19">IF(AND(Med_indoor_req=1,E98=0),"НЕТ","ОК")</f>
        <v>ОК</v>
      </c>
      <c r="F107" s="6" t="str">
        <f t="shared" si="19"/>
        <v>ОК</v>
      </c>
      <c r="G107" s="6" t="str">
        <f t="shared" si="19"/>
        <v>ОК</v>
      </c>
      <c r="H107" s="6" t="str">
        <f t="shared" si="19"/>
        <v>ОК</v>
      </c>
      <c r="I107" s="6" t="str">
        <f t="shared" si="19"/>
        <v>ОК</v>
      </c>
      <c r="J107" s="6" t="str">
        <f t="shared" si="19"/>
        <v>ОК</v>
      </c>
      <c r="K107" s="6" t="str">
        <f t="shared" si="19"/>
        <v>ОК</v>
      </c>
      <c r="L107" s="6" t="str">
        <f t="shared" si="19"/>
        <v>ОК</v>
      </c>
      <c r="M107" s="6" t="str">
        <f t="shared" si="19"/>
        <v>ОК</v>
      </c>
      <c r="N107" s="6" t="str">
        <f t="shared" si="19"/>
        <v>ОК</v>
      </c>
      <c r="O107" s="6" t="str">
        <f t="shared" si="19"/>
        <v>ОК</v>
      </c>
      <c r="P107" s="6" t="str">
        <f t="shared" si="19"/>
        <v>ОК</v>
      </c>
      <c r="Q107" s="6" t="str">
        <f t="shared" si="19"/>
        <v>ОК</v>
      </c>
      <c r="R107" s="6" t="str">
        <f t="shared" si="19"/>
        <v>ОК</v>
      </c>
      <c r="S107" s="6" t="str">
        <f t="shared" si="19"/>
        <v>ОК</v>
      </c>
      <c r="T107" s="6" t="str">
        <f t="shared" si="19"/>
        <v>ОК</v>
      </c>
      <c r="U107" s="6" t="str">
        <f t="shared" si="19"/>
        <v>ОК</v>
      </c>
      <c r="V107" s="6" t="str">
        <f t="shared" si="19"/>
        <v>ОК</v>
      </c>
      <c r="W107" s="6" t="str">
        <f t="shared" si="19"/>
        <v>ОК</v>
      </c>
      <c r="X107" s="6" t="str">
        <f t="shared" si="19"/>
        <v>ОК</v>
      </c>
      <c r="Y107" s="6" t="str">
        <f t="shared" si="19"/>
        <v>ОК</v>
      </c>
    </row>
    <row r="108" spans="1:25" ht="26" x14ac:dyDescent="0.2">
      <c r="A108" s="8" t="s">
        <v>487</v>
      </c>
      <c r="B108" s="6" t="s">
        <v>488</v>
      </c>
      <c r="C108" s="6"/>
      <c r="D108" s="8" t="s">
        <v>1051</v>
      </c>
      <c r="E108" s="6" t="str">
        <f t="shared" ref="E108:Y108" si="20">IF(AND(Med_divisible=0,E92&lt;Med_unit_mass),"НЕТ","ОК")</f>
        <v>ОК</v>
      </c>
      <c r="F108" s="6" t="str">
        <f t="shared" si="20"/>
        <v>ОК</v>
      </c>
      <c r="G108" s="6" t="str">
        <f t="shared" si="20"/>
        <v>ОК</v>
      </c>
      <c r="H108" s="6" t="str">
        <f t="shared" si="20"/>
        <v>ОК</v>
      </c>
      <c r="I108" s="6" t="str">
        <f t="shared" si="20"/>
        <v>ОК</v>
      </c>
      <c r="J108" s="6" t="str">
        <f t="shared" si="20"/>
        <v>ОК</v>
      </c>
      <c r="K108" s="6" t="str">
        <f t="shared" si="20"/>
        <v>ОК</v>
      </c>
      <c r="L108" s="6" t="str">
        <f t="shared" si="20"/>
        <v>ОК</v>
      </c>
      <c r="M108" s="6" t="str">
        <f t="shared" si="20"/>
        <v>ОК</v>
      </c>
      <c r="N108" s="6" t="str">
        <f t="shared" si="20"/>
        <v>ОК</v>
      </c>
      <c r="O108" s="6" t="str">
        <f t="shared" si="20"/>
        <v>ОК</v>
      </c>
      <c r="P108" s="6" t="str">
        <f t="shared" si="20"/>
        <v>ОК</v>
      </c>
      <c r="Q108" s="6" t="str">
        <f t="shared" si="20"/>
        <v>ОК</v>
      </c>
      <c r="R108" s="6" t="str">
        <f t="shared" si="20"/>
        <v>ОК</v>
      </c>
      <c r="S108" s="6" t="str">
        <f t="shared" si="20"/>
        <v>ОК</v>
      </c>
      <c r="T108" s="6" t="str">
        <f t="shared" si="20"/>
        <v>ОК</v>
      </c>
      <c r="U108" s="6" t="str">
        <f t="shared" si="20"/>
        <v>ОК</v>
      </c>
      <c r="V108" s="6" t="str">
        <f t="shared" si="20"/>
        <v>ОК</v>
      </c>
      <c r="W108" s="6" t="str">
        <f t="shared" si="20"/>
        <v>ОК</v>
      </c>
      <c r="X108" s="6" t="str">
        <f t="shared" si="20"/>
        <v>ОК</v>
      </c>
      <c r="Y108" s="6" t="str">
        <f t="shared" si="20"/>
        <v>ОК</v>
      </c>
    </row>
    <row r="109" spans="1:25" x14ac:dyDescent="0.2">
      <c r="A109" s="8" t="s">
        <v>490</v>
      </c>
      <c r="B109" s="6" t="s">
        <v>491</v>
      </c>
      <c r="C109" s="6"/>
      <c r="D109" s="8" t="s">
        <v>1052</v>
      </c>
      <c r="E109" s="6" t="str">
        <f t="shared" ref="E109:Y109" si="21">IF(E101/1000+Med_clearance&lt;=Med_aisle,"ОК","НЕТ")</f>
        <v>ОК</v>
      </c>
      <c r="F109" s="6" t="str">
        <f t="shared" si="21"/>
        <v>ОК</v>
      </c>
      <c r="G109" s="6" t="str">
        <f t="shared" si="21"/>
        <v>ОК</v>
      </c>
      <c r="H109" s="6" t="str">
        <f t="shared" si="21"/>
        <v>ОК</v>
      </c>
      <c r="I109" s="6" t="str">
        <f t="shared" si="21"/>
        <v>ОК</v>
      </c>
      <c r="J109" s="6" t="str">
        <f t="shared" si="21"/>
        <v>ОК</v>
      </c>
      <c r="K109" s="6" t="str">
        <f t="shared" si="21"/>
        <v>ОК</v>
      </c>
      <c r="L109" s="6" t="str">
        <f t="shared" si="21"/>
        <v>ОК</v>
      </c>
      <c r="M109" s="6" t="str">
        <f t="shared" si="21"/>
        <v>ОК</v>
      </c>
      <c r="N109" s="6" t="str">
        <f t="shared" si="21"/>
        <v>ОК</v>
      </c>
      <c r="O109" s="6" t="str">
        <f t="shared" si="21"/>
        <v>ОК</v>
      </c>
      <c r="P109" s="6" t="str">
        <f t="shared" si="21"/>
        <v>ОК</v>
      </c>
      <c r="Q109" s="6" t="str">
        <f t="shared" si="21"/>
        <v>ОК</v>
      </c>
      <c r="R109" s="6" t="str">
        <f t="shared" si="21"/>
        <v>ОК</v>
      </c>
      <c r="S109" s="6" t="str">
        <f t="shared" si="21"/>
        <v>ОК</v>
      </c>
      <c r="T109" s="6" t="str">
        <f t="shared" si="21"/>
        <v>ОК</v>
      </c>
      <c r="U109" s="6" t="str">
        <f t="shared" si="21"/>
        <v>ОК</v>
      </c>
      <c r="V109" s="6" t="str">
        <f t="shared" si="21"/>
        <v>ОК</v>
      </c>
      <c r="W109" s="6" t="str">
        <f t="shared" si="21"/>
        <v>ОК</v>
      </c>
      <c r="X109" s="6" t="str">
        <f t="shared" si="21"/>
        <v>ОК</v>
      </c>
      <c r="Y109" s="6" t="str">
        <f t="shared" si="21"/>
        <v>ОК</v>
      </c>
    </row>
    <row r="110" spans="1:25" ht="26" x14ac:dyDescent="0.2">
      <c r="A110" s="8" t="s">
        <v>493</v>
      </c>
      <c r="B110" s="6" t="s">
        <v>494</v>
      </c>
      <c r="C110" s="6"/>
      <c r="D110" s="8" t="s">
        <v>1053</v>
      </c>
      <c r="E110" s="6" t="str">
        <f t="shared" ref="E110:Y110" si="22">IF(Med_outdoor_req=1,IF(AND(E103=1,E102&lt;=Med_temp_min),"ОК","НЕТ"),"ОК")</f>
        <v>ОК</v>
      </c>
      <c r="F110" s="6" t="str">
        <f t="shared" si="22"/>
        <v>ОК</v>
      </c>
      <c r="G110" s="6" t="str">
        <f t="shared" si="22"/>
        <v>ОК</v>
      </c>
      <c r="H110" s="6" t="str">
        <f t="shared" si="22"/>
        <v>ОК</v>
      </c>
      <c r="I110" s="6" t="str">
        <f t="shared" si="22"/>
        <v>ОК</v>
      </c>
      <c r="J110" s="6" t="str">
        <f t="shared" si="22"/>
        <v>ОК</v>
      </c>
      <c r="K110" s="6" t="str">
        <f t="shared" si="22"/>
        <v>ОК</v>
      </c>
      <c r="L110" s="6" t="str">
        <f t="shared" si="22"/>
        <v>ОК</v>
      </c>
      <c r="M110" s="6" t="str">
        <f t="shared" si="22"/>
        <v>ОК</v>
      </c>
      <c r="N110" s="6" t="str">
        <f t="shared" si="22"/>
        <v>ОК</v>
      </c>
      <c r="O110" s="6" t="str">
        <f t="shared" si="22"/>
        <v>ОК</v>
      </c>
      <c r="P110" s="6" t="str">
        <f t="shared" si="22"/>
        <v>ОК</v>
      </c>
      <c r="Q110" s="6" t="str">
        <f t="shared" si="22"/>
        <v>ОК</v>
      </c>
      <c r="R110" s="6" t="str">
        <f t="shared" si="22"/>
        <v>ОК</v>
      </c>
      <c r="S110" s="6" t="str">
        <f t="shared" si="22"/>
        <v>ОК</v>
      </c>
      <c r="T110" s="6" t="str">
        <f t="shared" si="22"/>
        <v>ОК</v>
      </c>
      <c r="U110" s="6" t="str">
        <f t="shared" si="22"/>
        <v>ОК</v>
      </c>
      <c r="V110" s="6" t="str">
        <f t="shared" si="22"/>
        <v>ОК</v>
      </c>
      <c r="W110" s="6" t="str">
        <f t="shared" si="22"/>
        <v>ОК</v>
      </c>
      <c r="X110" s="6" t="str">
        <f t="shared" si="22"/>
        <v>ОК</v>
      </c>
      <c r="Y110" s="6" t="str">
        <f t="shared" si="22"/>
        <v>ОК</v>
      </c>
    </row>
    <row r="111" spans="1:25" ht="39" x14ac:dyDescent="0.2">
      <c r="A111" s="8" t="s">
        <v>496</v>
      </c>
      <c r="B111" s="37" t="s">
        <v>497</v>
      </c>
      <c r="C111" s="6" t="s">
        <v>323</v>
      </c>
      <c r="D111" s="8" t="s">
        <v>498</v>
      </c>
      <c r="E111" s="38">
        <f t="shared" ref="E111:Y111" si="23">IF(AND(E105="ОК",E106="ОК",E107="ОК",E108="ОК",E109="ОК",E110="ОК"),1,0)</f>
        <v>1</v>
      </c>
      <c r="F111" s="38">
        <f t="shared" si="23"/>
        <v>1</v>
      </c>
      <c r="G111" s="38">
        <f t="shared" si="23"/>
        <v>1</v>
      </c>
      <c r="H111" s="38">
        <f t="shared" si="23"/>
        <v>1</v>
      </c>
      <c r="I111" s="38">
        <f t="shared" si="23"/>
        <v>1</v>
      </c>
      <c r="J111" s="38">
        <f t="shared" si="23"/>
        <v>1</v>
      </c>
      <c r="K111" s="38">
        <f t="shared" si="23"/>
        <v>1</v>
      </c>
      <c r="L111" s="38">
        <f t="shared" si="23"/>
        <v>1</v>
      </c>
      <c r="M111" s="38">
        <f t="shared" si="23"/>
        <v>1</v>
      </c>
      <c r="N111" s="38">
        <f t="shared" si="23"/>
        <v>1</v>
      </c>
      <c r="O111" s="38">
        <f t="shared" si="23"/>
        <v>1</v>
      </c>
      <c r="P111" s="38">
        <f t="shared" si="23"/>
        <v>1</v>
      </c>
      <c r="Q111" s="38">
        <f t="shared" si="23"/>
        <v>1</v>
      </c>
      <c r="R111" s="38">
        <f t="shared" si="23"/>
        <v>1</v>
      </c>
      <c r="S111" s="38">
        <f t="shared" si="23"/>
        <v>1</v>
      </c>
      <c r="T111" s="38">
        <f t="shared" si="23"/>
        <v>1</v>
      </c>
      <c r="U111" s="38">
        <f t="shared" si="23"/>
        <v>1</v>
      </c>
      <c r="V111" s="38">
        <f t="shared" si="23"/>
        <v>1</v>
      </c>
      <c r="W111" s="38">
        <f t="shared" si="23"/>
        <v>1</v>
      </c>
      <c r="X111" s="38">
        <f t="shared" si="23"/>
        <v>1</v>
      </c>
      <c r="Y111" s="38">
        <f t="shared" si="23"/>
        <v>1</v>
      </c>
    </row>
    <row r="112" spans="1:25" ht="143" x14ac:dyDescent="0.2">
      <c r="A112" s="8" t="s">
        <v>499</v>
      </c>
      <c r="B112" s="6" t="s">
        <v>500</v>
      </c>
      <c r="C112" s="6"/>
      <c r="D112" s="8" t="s">
        <v>501</v>
      </c>
      <c r="E112" s="6" t="str">
        <f t="shared" ref="E112:Y112" si="24">IF(E111=1,"Применимо: все ключевые ограничения выполнены","Не применимо: "&amp;IF(E105="НЕТ","класс задачи; ","")&amp;IF(E106="НЕТ","способ обработки груза; ","")&amp;IF(E107="НЕТ","не допущен в помещения; ","")&amp;IF(E108="НЕТ","грузоподъёмность ниже массы единицы груза; ","")&amp;IF(E109="НЕТ","габариты не проходят по ширине прохода; ","")&amp;IF(E110="НЕТ","не сертифицирован для условий эксплуатации; ",""))</f>
        <v>Применимо: все ключевые ограничения выполнены</v>
      </c>
      <c r="F112" s="6" t="str">
        <f t="shared" si="24"/>
        <v>Применимо: все ключевые ограничения выполнены</v>
      </c>
      <c r="G112" s="6" t="str">
        <f t="shared" si="24"/>
        <v>Применимо: все ключевые ограничения выполнены</v>
      </c>
      <c r="H112" s="6" t="str">
        <f t="shared" si="24"/>
        <v>Применимо: все ключевые ограничения выполнены</v>
      </c>
      <c r="I112" s="6" t="str">
        <f t="shared" si="24"/>
        <v>Применимо: все ключевые ограничения выполнены</v>
      </c>
      <c r="J112" s="6" t="str">
        <f t="shared" si="24"/>
        <v>Применимо: все ключевые ограничения выполнены</v>
      </c>
      <c r="K112" s="6" t="str">
        <f t="shared" si="24"/>
        <v>Применимо: все ключевые ограничения выполнены</v>
      </c>
      <c r="L112" s="6" t="str">
        <f t="shared" si="24"/>
        <v>Применимо: все ключевые ограничения выполнены</v>
      </c>
      <c r="M112" s="6" t="str">
        <f t="shared" si="24"/>
        <v>Применимо: все ключевые ограничения выполнены</v>
      </c>
      <c r="N112" s="6" t="str">
        <f t="shared" si="24"/>
        <v>Применимо: все ключевые ограничения выполнены</v>
      </c>
      <c r="O112" s="6" t="str">
        <f t="shared" si="24"/>
        <v>Применимо: все ключевые ограничения выполнены</v>
      </c>
      <c r="P112" s="6" t="str">
        <f t="shared" si="24"/>
        <v>Применимо: все ключевые ограничения выполнены</v>
      </c>
      <c r="Q112" s="6" t="str">
        <f t="shared" si="24"/>
        <v>Применимо: все ключевые ограничения выполнены</v>
      </c>
      <c r="R112" s="6" t="str">
        <f t="shared" si="24"/>
        <v>Применимо: все ключевые ограничения выполнены</v>
      </c>
      <c r="S112" s="6" t="str">
        <f t="shared" si="24"/>
        <v>Применимо: все ключевые ограничения выполнены</v>
      </c>
      <c r="T112" s="6" t="str">
        <f t="shared" si="24"/>
        <v>Применимо: все ключевые ограничения выполнены</v>
      </c>
      <c r="U112" s="6" t="str">
        <f t="shared" si="24"/>
        <v>Применимо: все ключевые ограничения выполнены</v>
      </c>
      <c r="V112" s="6" t="str">
        <f t="shared" si="24"/>
        <v>Применимо: все ключевые ограничения выполнены</v>
      </c>
      <c r="W112" s="6" t="str">
        <f t="shared" si="24"/>
        <v>Применимо: все ключевые ограничения выполнены</v>
      </c>
      <c r="X112" s="6" t="str">
        <f t="shared" si="24"/>
        <v>Применимо: все ключевые ограничения выполнены</v>
      </c>
      <c r="Y112" s="6" t="str">
        <f t="shared" si="24"/>
        <v>Применимо: все ключевые ограничения выполнены</v>
      </c>
    </row>
    <row r="113" spans="1:25" x14ac:dyDescent="0.2">
      <c r="A113" s="26"/>
      <c r="B113" s="27" t="s">
        <v>502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x14ac:dyDescent="0.2">
      <c r="A114" s="8" t="s">
        <v>503</v>
      </c>
      <c r="B114" s="6" t="s">
        <v>504</v>
      </c>
      <c r="C114" s="6" t="s">
        <v>308</v>
      </c>
      <c r="D114" s="8" t="s">
        <v>1054</v>
      </c>
      <c r="E114" s="39">
        <f t="shared" ref="E114:Y114" si="25">Med_ops_day*E$82</f>
        <v>279.8</v>
      </c>
      <c r="F114" s="39">
        <f t="shared" si="25"/>
        <v>279.8</v>
      </c>
      <c r="G114" s="39">
        <f t="shared" si="25"/>
        <v>279.8</v>
      </c>
      <c r="H114" s="39">
        <f t="shared" si="25"/>
        <v>223.84000000000003</v>
      </c>
      <c r="I114" s="39">
        <f t="shared" si="25"/>
        <v>335.76</v>
      </c>
      <c r="J114" s="39">
        <f t="shared" si="25"/>
        <v>279.8</v>
      </c>
      <c r="K114" s="39">
        <f t="shared" si="25"/>
        <v>279.8</v>
      </c>
      <c r="L114" s="39">
        <f t="shared" si="25"/>
        <v>279.8</v>
      </c>
      <c r="M114" s="39">
        <f t="shared" si="25"/>
        <v>279.8</v>
      </c>
      <c r="N114" s="39">
        <f t="shared" si="25"/>
        <v>279.8</v>
      </c>
      <c r="O114" s="39">
        <f t="shared" si="25"/>
        <v>223.84000000000003</v>
      </c>
      <c r="P114" s="39">
        <f t="shared" si="25"/>
        <v>335.76</v>
      </c>
      <c r="Q114" s="39">
        <f t="shared" si="25"/>
        <v>279.8</v>
      </c>
      <c r="R114" s="39">
        <f t="shared" si="25"/>
        <v>279.8</v>
      </c>
      <c r="S114" s="39">
        <f t="shared" si="25"/>
        <v>279.8</v>
      </c>
      <c r="T114" s="39">
        <f t="shared" si="25"/>
        <v>279.8</v>
      </c>
      <c r="U114" s="39">
        <f t="shared" si="25"/>
        <v>279.8</v>
      </c>
      <c r="V114" s="39">
        <f t="shared" si="25"/>
        <v>223.84000000000003</v>
      </c>
      <c r="W114" s="39">
        <f t="shared" si="25"/>
        <v>335.76</v>
      </c>
      <c r="X114" s="39">
        <f t="shared" si="25"/>
        <v>279.8</v>
      </c>
      <c r="Y114" s="39">
        <f t="shared" si="25"/>
        <v>279.8</v>
      </c>
    </row>
    <row r="115" spans="1:25" x14ac:dyDescent="0.2">
      <c r="A115" s="8" t="s">
        <v>506</v>
      </c>
      <c r="B115" s="6" t="s">
        <v>507</v>
      </c>
      <c r="C115" s="6" t="s">
        <v>308</v>
      </c>
      <c r="D115" s="8" t="s">
        <v>1055</v>
      </c>
      <c r="E115" s="39">
        <f t="shared" ref="E115:Y115" si="26">E114*Med_auto_share</f>
        <v>251.82000000000002</v>
      </c>
      <c r="F115" s="39">
        <f t="shared" si="26"/>
        <v>251.82000000000002</v>
      </c>
      <c r="G115" s="39">
        <f t="shared" si="26"/>
        <v>251.82000000000002</v>
      </c>
      <c r="H115" s="39">
        <f t="shared" si="26"/>
        <v>201.45600000000005</v>
      </c>
      <c r="I115" s="39">
        <f t="shared" si="26"/>
        <v>302.18400000000003</v>
      </c>
      <c r="J115" s="39">
        <f t="shared" si="26"/>
        <v>251.82000000000002</v>
      </c>
      <c r="K115" s="39">
        <f t="shared" si="26"/>
        <v>251.82000000000002</v>
      </c>
      <c r="L115" s="39">
        <f t="shared" si="26"/>
        <v>251.82000000000002</v>
      </c>
      <c r="M115" s="39">
        <f t="shared" si="26"/>
        <v>251.82000000000002</v>
      </c>
      <c r="N115" s="39">
        <f t="shared" si="26"/>
        <v>251.82000000000002</v>
      </c>
      <c r="O115" s="39">
        <f t="shared" si="26"/>
        <v>201.45600000000005</v>
      </c>
      <c r="P115" s="39">
        <f t="shared" si="26"/>
        <v>302.18400000000003</v>
      </c>
      <c r="Q115" s="39">
        <f t="shared" si="26"/>
        <v>251.82000000000002</v>
      </c>
      <c r="R115" s="39">
        <f t="shared" si="26"/>
        <v>251.82000000000002</v>
      </c>
      <c r="S115" s="39">
        <f t="shared" si="26"/>
        <v>251.82000000000002</v>
      </c>
      <c r="T115" s="39">
        <f t="shared" si="26"/>
        <v>251.82000000000002</v>
      </c>
      <c r="U115" s="39">
        <f t="shared" si="26"/>
        <v>251.82000000000002</v>
      </c>
      <c r="V115" s="39">
        <f t="shared" si="26"/>
        <v>201.45600000000005</v>
      </c>
      <c r="W115" s="39">
        <f t="shared" si="26"/>
        <v>302.18400000000003</v>
      </c>
      <c r="X115" s="39">
        <f t="shared" si="26"/>
        <v>251.82000000000002</v>
      </c>
      <c r="Y115" s="39">
        <f t="shared" si="26"/>
        <v>251.82000000000002</v>
      </c>
    </row>
    <row r="116" spans="1:25" ht="28" x14ac:dyDescent="0.2">
      <c r="A116" s="8" t="s">
        <v>509</v>
      </c>
      <c r="B116" s="6" t="s">
        <v>510</v>
      </c>
      <c r="C116" s="6" t="s">
        <v>511</v>
      </c>
      <c r="D116" s="8" t="s">
        <v>1056</v>
      </c>
      <c r="E116" s="35">
        <f t="shared" ref="E116:Y116" si="27">IF(Med_divisible=1,ROUNDUP(Med_unit_mass/MAX(E92,1),0),1)</f>
        <v>1</v>
      </c>
      <c r="F116" s="35">
        <f t="shared" si="27"/>
        <v>1</v>
      </c>
      <c r="G116" s="35">
        <f t="shared" si="27"/>
        <v>1</v>
      </c>
      <c r="H116" s="35">
        <f t="shared" si="27"/>
        <v>1</v>
      </c>
      <c r="I116" s="35">
        <f t="shared" si="27"/>
        <v>1</v>
      </c>
      <c r="J116" s="35">
        <f t="shared" si="27"/>
        <v>1</v>
      </c>
      <c r="K116" s="35">
        <f t="shared" si="27"/>
        <v>1</v>
      </c>
      <c r="L116" s="35">
        <f t="shared" si="27"/>
        <v>1</v>
      </c>
      <c r="M116" s="35">
        <f t="shared" si="27"/>
        <v>1</v>
      </c>
      <c r="N116" s="35">
        <f t="shared" si="27"/>
        <v>1</v>
      </c>
      <c r="O116" s="35">
        <f t="shared" si="27"/>
        <v>1</v>
      </c>
      <c r="P116" s="35">
        <f t="shared" si="27"/>
        <v>1</v>
      </c>
      <c r="Q116" s="35">
        <f t="shared" si="27"/>
        <v>1</v>
      </c>
      <c r="R116" s="35">
        <f t="shared" si="27"/>
        <v>1</v>
      </c>
      <c r="S116" s="35">
        <f t="shared" si="27"/>
        <v>1</v>
      </c>
      <c r="T116" s="35">
        <f t="shared" si="27"/>
        <v>1</v>
      </c>
      <c r="U116" s="35">
        <f t="shared" si="27"/>
        <v>1</v>
      </c>
      <c r="V116" s="35">
        <f t="shared" si="27"/>
        <v>1</v>
      </c>
      <c r="W116" s="35">
        <f t="shared" si="27"/>
        <v>1</v>
      </c>
      <c r="X116" s="35">
        <f t="shared" si="27"/>
        <v>1</v>
      </c>
      <c r="Y116" s="35">
        <f t="shared" si="27"/>
        <v>1</v>
      </c>
    </row>
    <row r="117" spans="1:25" x14ac:dyDescent="0.2">
      <c r="A117" s="8" t="s">
        <v>513</v>
      </c>
      <c r="B117" s="6" t="s">
        <v>514</v>
      </c>
      <c r="C117" s="6" t="s">
        <v>273</v>
      </c>
      <c r="D117" s="8" t="s">
        <v>945</v>
      </c>
      <c r="E117" s="39">
        <f t="shared" ref="E117:Y117" si="28">Med_hours_day</f>
        <v>16</v>
      </c>
      <c r="F117" s="39">
        <f t="shared" si="28"/>
        <v>16</v>
      </c>
      <c r="G117" s="39">
        <f t="shared" si="28"/>
        <v>16</v>
      </c>
      <c r="H117" s="39">
        <f t="shared" si="28"/>
        <v>16</v>
      </c>
      <c r="I117" s="39">
        <f t="shared" si="28"/>
        <v>16</v>
      </c>
      <c r="J117" s="39">
        <f t="shared" si="28"/>
        <v>16</v>
      </c>
      <c r="K117" s="39">
        <f t="shared" si="28"/>
        <v>16</v>
      </c>
      <c r="L117" s="39">
        <f t="shared" si="28"/>
        <v>16</v>
      </c>
      <c r="M117" s="39">
        <f t="shared" si="28"/>
        <v>16</v>
      </c>
      <c r="N117" s="39">
        <f t="shared" si="28"/>
        <v>16</v>
      </c>
      <c r="O117" s="39">
        <f t="shared" si="28"/>
        <v>16</v>
      </c>
      <c r="P117" s="39">
        <f t="shared" si="28"/>
        <v>16</v>
      </c>
      <c r="Q117" s="39">
        <f t="shared" si="28"/>
        <v>16</v>
      </c>
      <c r="R117" s="39">
        <f t="shared" si="28"/>
        <v>16</v>
      </c>
      <c r="S117" s="39">
        <f t="shared" si="28"/>
        <v>16</v>
      </c>
      <c r="T117" s="39">
        <f t="shared" si="28"/>
        <v>16</v>
      </c>
      <c r="U117" s="39">
        <f t="shared" si="28"/>
        <v>16</v>
      </c>
      <c r="V117" s="39">
        <f t="shared" si="28"/>
        <v>16</v>
      </c>
      <c r="W117" s="39">
        <f t="shared" si="28"/>
        <v>16</v>
      </c>
      <c r="X117" s="39">
        <f t="shared" si="28"/>
        <v>16</v>
      </c>
      <c r="Y117" s="39">
        <f t="shared" si="28"/>
        <v>16</v>
      </c>
    </row>
    <row r="118" spans="1:25" x14ac:dyDescent="0.2">
      <c r="A118" s="8" t="s">
        <v>515</v>
      </c>
      <c r="B118" s="6" t="s">
        <v>516</v>
      </c>
      <c r="C118" s="6" t="s">
        <v>317</v>
      </c>
      <c r="D118" s="8" t="s">
        <v>517</v>
      </c>
      <c r="E118" s="36">
        <f t="shared" ref="E118:Y118" si="29">E115/E117</f>
        <v>15.738750000000001</v>
      </c>
      <c r="F118" s="36">
        <f t="shared" si="29"/>
        <v>15.738750000000001</v>
      </c>
      <c r="G118" s="36">
        <f t="shared" si="29"/>
        <v>15.738750000000001</v>
      </c>
      <c r="H118" s="36">
        <f t="shared" si="29"/>
        <v>12.591000000000003</v>
      </c>
      <c r="I118" s="36">
        <f t="shared" si="29"/>
        <v>18.886500000000002</v>
      </c>
      <c r="J118" s="36">
        <f t="shared" si="29"/>
        <v>15.738750000000001</v>
      </c>
      <c r="K118" s="36">
        <f t="shared" si="29"/>
        <v>15.738750000000001</v>
      </c>
      <c r="L118" s="36">
        <f t="shared" si="29"/>
        <v>15.738750000000001</v>
      </c>
      <c r="M118" s="36">
        <f t="shared" si="29"/>
        <v>15.738750000000001</v>
      </c>
      <c r="N118" s="36">
        <f t="shared" si="29"/>
        <v>15.738750000000001</v>
      </c>
      <c r="O118" s="36">
        <f t="shared" si="29"/>
        <v>12.591000000000003</v>
      </c>
      <c r="P118" s="36">
        <f t="shared" si="29"/>
        <v>18.886500000000002</v>
      </c>
      <c r="Q118" s="36">
        <f t="shared" si="29"/>
        <v>15.738750000000001</v>
      </c>
      <c r="R118" s="36">
        <f t="shared" si="29"/>
        <v>15.738750000000001</v>
      </c>
      <c r="S118" s="36">
        <f t="shared" si="29"/>
        <v>15.738750000000001</v>
      </c>
      <c r="T118" s="36">
        <f t="shared" si="29"/>
        <v>15.738750000000001</v>
      </c>
      <c r="U118" s="36">
        <f t="shared" si="29"/>
        <v>15.738750000000001</v>
      </c>
      <c r="V118" s="36">
        <f t="shared" si="29"/>
        <v>12.591000000000003</v>
      </c>
      <c r="W118" s="36">
        <f t="shared" si="29"/>
        <v>18.886500000000002</v>
      </c>
      <c r="X118" s="36">
        <f t="shared" si="29"/>
        <v>15.738750000000001</v>
      </c>
      <c r="Y118" s="36">
        <f t="shared" si="29"/>
        <v>15.738750000000001</v>
      </c>
    </row>
    <row r="119" spans="1:25" x14ac:dyDescent="0.2">
      <c r="A119" s="8" t="s">
        <v>518</v>
      </c>
      <c r="B119" s="6" t="s">
        <v>519</v>
      </c>
      <c r="C119" s="6" t="s">
        <v>317</v>
      </c>
      <c r="D119" s="8" t="s">
        <v>1057</v>
      </c>
      <c r="E119" s="36">
        <f t="shared" ref="E119:Y119" si="30">Med_peak_ops_h*E$82*Med_auto_share</f>
        <v>28.329750000000004</v>
      </c>
      <c r="F119" s="36">
        <f t="shared" si="30"/>
        <v>28.329750000000004</v>
      </c>
      <c r="G119" s="36">
        <f t="shared" si="30"/>
        <v>28.329750000000004</v>
      </c>
      <c r="H119" s="36">
        <f t="shared" si="30"/>
        <v>22.663800000000002</v>
      </c>
      <c r="I119" s="36">
        <f t="shared" si="30"/>
        <v>33.995700000000006</v>
      </c>
      <c r="J119" s="36">
        <f t="shared" si="30"/>
        <v>28.329750000000004</v>
      </c>
      <c r="K119" s="36">
        <f t="shared" si="30"/>
        <v>28.329750000000004</v>
      </c>
      <c r="L119" s="36">
        <f t="shared" si="30"/>
        <v>28.329750000000004</v>
      </c>
      <c r="M119" s="36">
        <f t="shared" si="30"/>
        <v>28.329750000000004</v>
      </c>
      <c r="N119" s="36">
        <f t="shared" si="30"/>
        <v>28.329750000000004</v>
      </c>
      <c r="O119" s="36">
        <f t="shared" si="30"/>
        <v>22.663800000000002</v>
      </c>
      <c r="P119" s="36">
        <f t="shared" si="30"/>
        <v>33.995700000000006</v>
      </c>
      <c r="Q119" s="36">
        <f t="shared" si="30"/>
        <v>28.329750000000004</v>
      </c>
      <c r="R119" s="36">
        <f t="shared" si="30"/>
        <v>28.329750000000004</v>
      </c>
      <c r="S119" s="36">
        <f t="shared" si="30"/>
        <v>28.329750000000004</v>
      </c>
      <c r="T119" s="36">
        <f t="shared" si="30"/>
        <v>28.329750000000004</v>
      </c>
      <c r="U119" s="36">
        <f t="shared" si="30"/>
        <v>28.329750000000004</v>
      </c>
      <c r="V119" s="36">
        <f t="shared" si="30"/>
        <v>22.663800000000002</v>
      </c>
      <c r="W119" s="36">
        <f t="shared" si="30"/>
        <v>33.995700000000006</v>
      </c>
      <c r="X119" s="36">
        <f t="shared" si="30"/>
        <v>28.329750000000004</v>
      </c>
      <c r="Y119" s="36">
        <f t="shared" si="30"/>
        <v>28.329750000000004</v>
      </c>
    </row>
    <row r="120" spans="1:25" x14ac:dyDescent="0.2">
      <c r="A120" s="8" t="s">
        <v>521</v>
      </c>
      <c r="B120" s="6" t="s">
        <v>522</v>
      </c>
      <c r="C120" s="6" t="s">
        <v>523</v>
      </c>
      <c r="D120" s="8" t="s">
        <v>524</v>
      </c>
      <c r="E120" s="36">
        <f t="shared" ref="E120:Y120" si="31">E119*E116</f>
        <v>28.329750000000004</v>
      </c>
      <c r="F120" s="36">
        <f t="shared" si="31"/>
        <v>28.329750000000004</v>
      </c>
      <c r="G120" s="36">
        <f t="shared" si="31"/>
        <v>28.329750000000004</v>
      </c>
      <c r="H120" s="36">
        <f t="shared" si="31"/>
        <v>22.663800000000002</v>
      </c>
      <c r="I120" s="36">
        <f t="shared" si="31"/>
        <v>33.995700000000006</v>
      </c>
      <c r="J120" s="36">
        <f t="shared" si="31"/>
        <v>28.329750000000004</v>
      </c>
      <c r="K120" s="36">
        <f t="shared" si="31"/>
        <v>28.329750000000004</v>
      </c>
      <c r="L120" s="36">
        <f t="shared" si="31"/>
        <v>28.329750000000004</v>
      </c>
      <c r="M120" s="36">
        <f t="shared" si="31"/>
        <v>28.329750000000004</v>
      </c>
      <c r="N120" s="36">
        <f t="shared" si="31"/>
        <v>28.329750000000004</v>
      </c>
      <c r="O120" s="36">
        <f t="shared" si="31"/>
        <v>22.663800000000002</v>
      </c>
      <c r="P120" s="36">
        <f t="shared" si="31"/>
        <v>33.995700000000006</v>
      </c>
      <c r="Q120" s="36">
        <f t="shared" si="31"/>
        <v>28.329750000000004</v>
      </c>
      <c r="R120" s="36">
        <f t="shared" si="31"/>
        <v>28.329750000000004</v>
      </c>
      <c r="S120" s="36">
        <f t="shared" si="31"/>
        <v>28.329750000000004</v>
      </c>
      <c r="T120" s="36">
        <f t="shared" si="31"/>
        <v>28.329750000000004</v>
      </c>
      <c r="U120" s="36">
        <f t="shared" si="31"/>
        <v>28.329750000000004</v>
      </c>
      <c r="V120" s="36">
        <f t="shared" si="31"/>
        <v>22.663800000000002</v>
      </c>
      <c r="W120" s="36">
        <f t="shared" si="31"/>
        <v>33.995700000000006</v>
      </c>
      <c r="X120" s="36">
        <f t="shared" si="31"/>
        <v>28.329750000000004</v>
      </c>
      <c r="Y120" s="36">
        <f t="shared" si="31"/>
        <v>28.329750000000004</v>
      </c>
    </row>
    <row r="121" spans="1:25" x14ac:dyDescent="0.2">
      <c r="A121" s="26"/>
      <c r="B121" s="27" t="s">
        <v>525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x14ac:dyDescent="0.2">
      <c r="A122" s="8" t="s">
        <v>526</v>
      </c>
      <c r="B122" s="6" t="s">
        <v>527</v>
      </c>
      <c r="C122" s="6" t="s">
        <v>264</v>
      </c>
      <c r="D122" s="8" t="s">
        <v>968</v>
      </c>
      <c r="E122" s="35">
        <f t="shared" ref="E122:Y122" si="32">Med_L</f>
        <v>180</v>
      </c>
      <c r="F122" s="35">
        <f t="shared" si="32"/>
        <v>180</v>
      </c>
      <c r="G122" s="35">
        <f t="shared" si="32"/>
        <v>180</v>
      </c>
      <c r="H122" s="35">
        <f t="shared" si="32"/>
        <v>180</v>
      </c>
      <c r="I122" s="35">
        <f t="shared" si="32"/>
        <v>180</v>
      </c>
      <c r="J122" s="35">
        <f t="shared" si="32"/>
        <v>180</v>
      </c>
      <c r="K122" s="35">
        <f t="shared" si="32"/>
        <v>180</v>
      </c>
      <c r="L122" s="35">
        <f t="shared" si="32"/>
        <v>180</v>
      </c>
      <c r="M122" s="35">
        <f t="shared" si="32"/>
        <v>180</v>
      </c>
      <c r="N122" s="35">
        <f t="shared" si="32"/>
        <v>180</v>
      </c>
      <c r="O122" s="35">
        <f t="shared" si="32"/>
        <v>180</v>
      </c>
      <c r="P122" s="35">
        <f t="shared" si="32"/>
        <v>180</v>
      </c>
      <c r="Q122" s="35">
        <f t="shared" si="32"/>
        <v>180</v>
      </c>
      <c r="R122" s="35">
        <f t="shared" si="32"/>
        <v>180</v>
      </c>
      <c r="S122" s="35">
        <f t="shared" si="32"/>
        <v>180</v>
      </c>
      <c r="T122" s="35">
        <f t="shared" si="32"/>
        <v>180</v>
      </c>
      <c r="U122" s="35">
        <f t="shared" si="32"/>
        <v>180</v>
      </c>
      <c r="V122" s="35">
        <f t="shared" si="32"/>
        <v>180</v>
      </c>
      <c r="W122" s="35">
        <f t="shared" si="32"/>
        <v>180</v>
      </c>
      <c r="X122" s="35">
        <f t="shared" si="32"/>
        <v>180</v>
      </c>
      <c r="Y122" s="35">
        <f t="shared" si="32"/>
        <v>180</v>
      </c>
    </row>
    <row r="123" spans="1:25" ht="28" x14ac:dyDescent="0.2">
      <c r="A123" s="8" t="s">
        <v>528</v>
      </c>
      <c r="B123" s="6" t="s">
        <v>529</v>
      </c>
      <c r="C123" s="6" t="s">
        <v>330</v>
      </c>
      <c r="D123" s="8" t="s">
        <v>1058</v>
      </c>
      <c r="E123" s="36">
        <f t="shared" ref="E123:Y123" si="33">MIN(E93,Med_speed_cap)*N_kv</f>
        <v>1</v>
      </c>
      <c r="F123" s="36">
        <f t="shared" si="33"/>
        <v>1</v>
      </c>
      <c r="G123" s="36">
        <f t="shared" si="33"/>
        <v>1</v>
      </c>
      <c r="H123" s="36">
        <f t="shared" si="33"/>
        <v>1</v>
      </c>
      <c r="I123" s="36">
        <f t="shared" si="33"/>
        <v>1</v>
      </c>
      <c r="J123" s="36">
        <f t="shared" si="33"/>
        <v>1</v>
      </c>
      <c r="K123" s="36">
        <f t="shared" si="33"/>
        <v>1</v>
      </c>
      <c r="L123" s="36">
        <f t="shared" si="33"/>
        <v>1</v>
      </c>
      <c r="M123" s="36">
        <f t="shared" si="33"/>
        <v>1</v>
      </c>
      <c r="N123" s="36">
        <f t="shared" si="33"/>
        <v>1</v>
      </c>
      <c r="O123" s="36">
        <f t="shared" si="33"/>
        <v>1</v>
      </c>
      <c r="P123" s="36">
        <f t="shared" si="33"/>
        <v>1</v>
      </c>
      <c r="Q123" s="36">
        <f t="shared" si="33"/>
        <v>1</v>
      </c>
      <c r="R123" s="36">
        <f t="shared" si="33"/>
        <v>1</v>
      </c>
      <c r="S123" s="36">
        <f t="shared" si="33"/>
        <v>1</v>
      </c>
      <c r="T123" s="36">
        <f t="shared" si="33"/>
        <v>1</v>
      </c>
      <c r="U123" s="36">
        <f t="shared" si="33"/>
        <v>1</v>
      </c>
      <c r="V123" s="36">
        <f t="shared" si="33"/>
        <v>1</v>
      </c>
      <c r="W123" s="36">
        <f t="shared" si="33"/>
        <v>1</v>
      </c>
      <c r="X123" s="36">
        <f t="shared" si="33"/>
        <v>1</v>
      </c>
      <c r="Y123" s="36">
        <f t="shared" si="33"/>
        <v>1</v>
      </c>
    </row>
    <row r="124" spans="1:25" x14ac:dyDescent="0.2">
      <c r="A124" s="8" t="s">
        <v>531</v>
      </c>
      <c r="B124" s="6" t="s">
        <v>532</v>
      </c>
      <c r="C124" s="6" t="s">
        <v>337</v>
      </c>
      <c r="D124" s="8" t="s">
        <v>533</v>
      </c>
      <c r="E124" s="35">
        <f t="shared" ref="E124:Y124" si="34">2*E122/E123</f>
        <v>360</v>
      </c>
      <c r="F124" s="35">
        <f t="shared" si="34"/>
        <v>360</v>
      </c>
      <c r="G124" s="35">
        <f t="shared" si="34"/>
        <v>360</v>
      </c>
      <c r="H124" s="35">
        <f t="shared" si="34"/>
        <v>360</v>
      </c>
      <c r="I124" s="35">
        <f t="shared" si="34"/>
        <v>360</v>
      </c>
      <c r="J124" s="35">
        <f t="shared" si="34"/>
        <v>360</v>
      </c>
      <c r="K124" s="35">
        <f t="shared" si="34"/>
        <v>360</v>
      </c>
      <c r="L124" s="35">
        <f t="shared" si="34"/>
        <v>360</v>
      </c>
      <c r="M124" s="35">
        <f t="shared" si="34"/>
        <v>360</v>
      </c>
      <c r="N124" s="35">
        <f t="shared" si="34"/>
        <v>360</v>
      </c>
      <c r="O124" s="35">
        <f t="shared" si="34"/>
        <v>360</v>
      </c>
      <c r="P124" s="35">
        <f t="shared" si="34"/>
        <v>360</v>
      </c>
      <c r="Q124" s="35">
        <f t="shared" si="34"/>
        <v>360</v>
      </c>
      <c r="R124" s="35">
        <f t="shared" si="34"/>
        <v>360</v>
      </c>
      <c r="S124" s="35">
        <f t="shared" si="34"/>
        <v>360</v>
      </c>
      <c r="T124" s="35">
        <f t="shared" si="34"/>
        <v>360</v>
      </c>
      <c r="U124" s="35">
        <f t="shared" si="34"/>
        <v>360</v>
      </c>
      <c r="V124" s="35">
        <f t="shared" si="34"/>
        <v>360</v>
      </c>
      <c r="W124" s="35">
        <f t="shared" si="34"/>
        <v>360</v>
      </c>
      <c r="X124" s="35">
        <f t="shared" si="34"/>
        <v>360</v>
      </c>
      <c r="Y124" s="35">
        <f t="shared" si="34"/>
        <v>360</v>
      </c>
    </row>
    <row r="125" spans="1:25" x14ac:dyDescent="0.2">
      <c r="A125" s="8" t="s">
        <v>534</v>
      </c>
      <c r="B125" s="6" t="s">
        <v>535</v>
      </c>
      <c r="C125" s="6" t="s">
        <v>337</v>
      </c>
      <c r="D125" s="8" t="s">
        <v>1059</v>
      </c>
      <c r="E125" s="35">
        <f t="shared" ref="E125:Y125" si="35">Med_lift_share*2*Med_lift_time</f>
        <v>288</v>
      </c>
      <c r="F125" s="35">
        <f t="shared" si="35"/>
        <v>288</v>
      </c>
      <c r="G125" s="35">
        <f t="shared" si="35"/>
        <v>288</v>
      </c>
      <c r="H125" s="35">
        <f t="shared" si="35"/>
        <v>288</v>
      </c>
      <c r="I125" s="35">
        <f t="shared" si="35"/>
        <v>288</v>
      </c>
      <c r="J125" s="35">
        <f t="shared" si="35"/>
        <v>288</v>
      </c>
      <c r="K125" s="35">
        <f t="shared" si="35"/>
        <v>288</v>
      </c>
      <c r="L125" s="35">
        <f t="shared" si="35"/>
        <v>288</v>
      </c>
      <c r="M125" s="35">
        <f t="shared" si="35"/>
        <v>288</v>
      </c>
      <c r="N125" s="35">
        <f t="shared" si="35"/>
        <v>288</v>
      </c>
      <c r="O125" s="35">
        <f t="shared" si="35"/>
        <v>288</v>
      </c>
      <c r="P125" s="35">
        <f t="shared" si="35"/>
        <v>288</v>
      </c>
      <c r="Q125" s="35">
        <f t="shared" si="35"/>
        <v>288</v>
      </c>
      <c r="R125" s="35">
        <f t="shared" si="35"/>
        <v>288</v>
      </c>
      <c r="S125" s="35">
        <f t="shared" si="35"/>
        <v>288</v>
      </c>
      <c r="T125" s="35">
        <f t="shared" si="35"/>
        <v>288</v>
      </c>
      <c r="U125" s="35">
        <f t="shared" si="35"/>
        <v>288</v>
      </c>
      <c r="V125" s="35">
        <f t="shared" si="35"/>
        <v>288</v>
      </c>
      <c r="W125" s="35">
        <f t="shared" si="35"/>
        <v>288</v>
      </c>
      <c r="X125" s="35">
        <f t="shared" si="35"/>
        <v>288</v>
      </c>
      <c r="Y125" s="35">
        <f t="shared" si="35"/>
        <v>288</v>
      </c>
    </row>
    <row r="126" spans="1:25" x14ac:dyDescent="0.2">
      <c r="A126" s="8" t="s">
        <v>537</v>
      </c>
      <c r="B126" s="6" t="s">
        <v>538</v>
      </c>
      <c r="C126" s="6" t="s">
        <v>337</v>
      </c>
      <c r="D126" s="8" t="s">
        <v>539</v>
      </c>
      <c r="E126" s="35">
        <f t="shared" ref="E126:Y126" si="36">E124+E94+E95+E125</f>
        <v>738</v>
      </c>
      <c r="F126" s="35">
        <f t="shared" si="36"/>
        <v>738</v>
      </c>
      <c r="G126" s="35">
        <f t="shared" si="36"/>
        <v>738</v>
      </c>
      <c r="H126" s="35">
        <f t="shared" si="36"/>
        <v>738</v>
      </c>
      <c r="I126" s="35">
        <f t="shared" si="36"/>
        <v>738</v>
      </c>
      <c r="J126" s="35">
        <f t="shared" si="36"/>
        <v>738</v>
      </c>
      <c r="K126" s="35">
        <f t="shared" si="36"/>
        <v>738</v>
      </c>
      <c r="L126" s="35">
        <f t="shared" si="36"/>
        <v>738</v>
      </c>
      <c r="M126" s="35">
        <f t="shared" si="36"/>
        <v>738</v>
      </c>
      <c r="N126" s="35">
        <f t="shared" si="36"/>
        <v>738</v>
      </c>
      <c r="O126" s="35">
        <f t="shared" si="36"/>
        <v>738</v>
      </c>
      <c r="P126" s="35">
        <f t="shared" si="36"/>
        <v>738</v>
      </c>
      <c r="Q126" s="35">
        <f t="shared" si="36"/>
        <v>738</v>
      </c>
      <c r="R126" s="35">
        <f t="shared" si="36"/>
        <v>738</v>
      </c>
      <c r="S126" s="35">
        <f t="shared" si="36"/>
        <v>738</v>
      </c>
      <c r="T126" s="35">
        <f t="shared" si="36"/>
        <v>738</v>
      </c>
      <c r="U126" s="35">
        <f t="shared" si="36"/>
        <v>738</v>
      </c>
      <c r="V126" s="35">
        <f t="shared" si="36"/>
        <v>738</v>
      </c>
      <c r="W126" s="35">
        <f t="shared" si="36"/>
        <v>738</v>
      </c>
      <c r="X126" s="35">
        <f t="shared" si="36"/>
        <v>738</v>
      </c>
      <c r="Y126" s="35">
        <f t="shared" si="36"/>
        <v>738</v>
      </c>
    </row>
    <row r="127" spans="1:25" x14ac:dyDescent="0.2">
      <c r="A127" s="8" t="s">
        <v>540</v>
      </c>
      <c r="B127" s="6" t="s">
        <v>541</v>
      </c>
      <c r="C127" s="6" t="s">
        <v>523</v>
      </c>
      <c r="D127" s="8" t="s">
        <v>542</v>
      </c>
      <c r="E127" s="36">
        <f t="shared" ref="E127:Y127" si="37">3600/E126</f>
        <v>4.8780487804878048</v>
      </c>
      <c r="F127" s="36">
        <f t="shared" si="37"/>
        <v>4.8780487804878048</v>
      </c>
      <c r="G127" s="36">
        <f t="shared" si="37"/>
        <v>4.8780487804878048</v>
      </c>
      <c r="H127" s="36">
        <f t="shared" si="37"/>
        <v>4.8780487804878048</v>
      </c>
      <c r="I127" s="36">
        <f t="shared" si="37"/>
        <v>4.8780487804878048</v>
      </c>
      <c r="J127" s="36">
        <f t="shared" si="37"/>
        <v>4.8780487804878048</v>
      </c>
      <c r="K127" s="36">
        <f t="shared" si="37"/>
        <v>4.8780487804878048</v>
      </c>
      <c r="L127" s="36">
        <f t="shared" si="37"/>
        <v>4.8780487804878048</v>
      </c>
      <c r="M127" s="36">
        <f t="shared" si="37"/>
        <v>4.8780487804878048</v>
      </c>
      <c r="N127" s="36">
        <f t="shared" si="37"/>
        <v>4.8780487804878048</v>
      </c>
      <c r="O127" s="36">
        <f t="shared" si="37"/>
        <v>4.8780487804878048</v>
      </c>
      <c r="P127" s="36">
        <f t="shared" si="37"/>
        <v>4.8780487804878048</v>
      </c>
      <c r="Q127" s="36">
        <f t="shared" si="37"/>
        <v>4.8780487804878048</v>
      </c>
      <c r="R127" s="36">
        <f t="shared" si="37"/>
        <v>4.8780487804878048</v>
      </c>
      <c r="S127" s="36">
        <f t="shared" si="37"/>
        <v>4.8780487804878048</v>
      </c>
      <c r="T127" s="36">
        <f t="shared" si="37"/>
        <v>4.8780487804878048</v>
      </c>
      <c r="U127" s="36">
        <f t="shared" si="37"/>
        <v>4.8780487804878048</v>
      </c>
      <c r="V127" s="36">
        <f t="shared" si="37"/>
        <v>4.8780487804878048</v>
      </c>
      <c r="W127" s="36">
        <f t="shared" si="37"/>
        <v>4.8780487804878048</v>
      </c>
      <c r="X127" s="36">
        <f t="shared" si="37"/>
        <v>4.8780487804878048</v>
      </c>
      <c r="Y127" s="36">
        <f t="shared" si="37"/>
        <v>4.8780487804878048</v>
      </c>
    </row>
    <row r="128" spans="1:25" ht="28" x14ac:dyDescent="0.2">
      <c r="A128" s="8" t="s">
        <v>543</v>
      </c>
      <c r="B128" s="6" t="s">
        <v>544</v>
      </c>
      <c r="C128" s="6" t="s">
        <v>523</v>
      </c>
      <c r="D128" s="8" t="s">
        <v>545</v>
      </c>
      <c r="E128" s="36">
        <f t="shared" ref="E128:Y128" si="38">E127*N_util*N_avail</f>
        <v>3.5121951219512195</v>
      </c>
      <c r="F128" s="36">
        <f t="shared" si="38"/>
        <v>3.5121951219512195</v>
      </c>
      <c r="G128" s="36">
        <f t="shared" si="38"/>
        <v>3.5121951219512195</v>
      </c>
      <c r="H128" s="36">
        <f t="shared" si="38"/>
        <v>3.5121951219512195</v>
      </c>
      <c r="I128" s="36">
        <f t="shared" si="38"/>
        <v>3.5121951219512195</v>
      </c>
      <c r="J128" s="36">
        <f t="shared" si="38"/>
        <v>3.5121951219512195</v>
      </c>
      <c r="K128" s="36">
        <f t="shared" si="38"/>
        <v>3.5121951219512195</v>
      </c>
      <c r="L128" s="36">
        <f t="shared" si="38"/>
        <v>3.5121951219512195</v>
      </c>
      <c r="M128" s="36">
        <f t="shared" si="38"/>
        <v>3.5121951219512195</v>
      </c>
      <c r="N128" s="36">
        <f t="shared" si="38"/>
        <v>3.5121951219512195</v>
      </c>
      <c r="O128" s="36">
        <f t="shared" si="38"/>
        <v>3.5121951219512195</v>
      </c>
      <c r="P128" s="36">
        <f t="shared" si="38"/>
        <v>3.5121951219512195</v>
      </c>
      <c r="Q128" s="36">
        <f t="shared" si="38"/>
        <v>3.5121951219512195</v>
      </c>
      <c r="R128" s="36">
        <f t="shared" si="38"/>
        <v>3.5121951219512195</v>
      </c>
      <c r="S128" s="36">
        <f t="shared" si="38"/>
        <v>3.5121951219512195</v>
      </c>
      <c r="T128" s="36">
        <f t="shared" si="38"/>
        <v>3.5121951219512195</v>
      </c>
      <c r="U128" s="36">
        <f t="shared" si="38"/>
        <v>3.5121951219512195</v>
      </c>
      <c r="V128" s="36">
        <f t="shared" si="38"/>
        <v>3.5121951219512195</v>
      </c>
      <c r="W128" s="36">
        <f t="shared" si="38"/>
        <v>3.5121951219512195</v>
      </c>
      <c r="X128" s="36">
        <f t="shared" si="38"/>
        <v>3.5121951219512195</v>
      </c>
      <c r="Y128" s="36">
        <f t="shared" si="38"/>
        <v>3.5121951219512195</v>
      </c>
    </row>
    <row r="129" spans="1:25" ht="28" x14ac:dyDescent="0.2">
      <c r="A129" s="8" t="s">
        <v>546</v>
      </c>
      <c r="B129" s="37" t="s">
        <v>547</v>
      </c>
      <c r="C129" s="6" t="s">
        <v>548</v>
      </c>
      <c r="D129" s="8" t="s">
        <v>549</v>
      </c>
      <c r="E129" s="38">
        <f t="shared" ref="E129:Y129" si="39">IF(E111=1,MAX(1,ROUNDUP(E120/E128*(1+N_reserve),0)),0)</f>
        <v>9</v>
      </c>
      <c r="F129" s="38">
        <f t="shared" si="39"/>
        <v>9</v>
      </c>
      <c r="G129" s="38">
        <f t="shared" si="39"/>
        <v>9</v>
      </c>
      <c r="H129" s="38">
        <f t="shared" si="39"/>
        <v>8</v>
      </c>
      <c r="I129" s="38">
        <f t="shared" si="39"/>
        <v>11</v>
      </c>
      <c r="J129" s="38">
        <f t="shared" si="39"/>
        <v>9</v>
      </c>
      <c r="K129" s="38">
        <f t="shared" si="39"/>
        <v>9</v>
      </c>
      <c r="L129" s="38">
        <f t="shared" si="39"/>
        <v>9</v>
      </c>
      <c r="M129" s="38">
        <f t="shared" si="39"/>
        <v>9</v>
      </c>
      <c r="N129" s="38">
        <f t="shared" si="39"/>
        <v>9</v>
      </c>
      <c r="O129" s="38">
        <f t="shared" si="39"/>
        <v>8</v>
      </c>
      <c r="P129" s="38">
        <f t="shared" si="39"/>
        <v>11</v>
      </c>
      <c r="Q129" s="38">
        <f t="shared" si="39"/>
        <v>9</v>
      </c>
      <c r="R129" s="38">
        <f t="shared" si="39"/>
        <v>9</v>
      </c>
      <c r="S129" s="38">
        <f t="shared" si="39"/>
        <v>9</v>
      </c>
      <c r="T129" s="38">
        <f t="shared" si="39"/>
        <v>9</v>
      </c>
      <c r="U129" s="38">
        <f t="shared" si="39"/>
        <v>9</v>
      </c>
      <c r="V129" s="38">
        <f t="shared" si="39"/>
        <v>8</v>
      </c>
      <c r="W129" s="38">
        <f t="shared" si="39"/>
        <v>11</v>
      </c>
      <c r="X129" s="38">
        <f t="shared" si="39"/>
        <v>9</v>
      </c>
      <c r="Y129" s="38">
        <f t="shared" si="39"/>
        <v>9</v>
      </c>
    </row>
    <row r="130" spans="1:25" x14ac:dyDescent="0.2">
      <c r="A130" s="8" t="s">
        <v>550</v>
      </c>
      <c r="B130" s="37" t="s">
        <v>551</v>
      </c>
      <c r="C130" s="6" t="s">
        <v>548</v>
      </c>
      <c r="D130" s="8" t="s">
        <v>552</v>
      </c>
      <c r="E130" s="38">
        <f t="shared" ref="E130:Y130" si="40">ROUNDUP(E129/N_charger_ratio,0)</f>
        <v>5</v>
      </c>
      <c r="F130" s="38">
        <f t="shared" si="40"/>
        <v>5</v>
      </c>
      <c r="G130" s="38">
        <f t="shared" si="40"/>
        <v>5</v>
      </c>
      <c r="H130" s="38">
        <f t="shared" si="40"/>
        <v>4</v>
      </c>
      <c r="I130" s="38">
        <f t="shared" si="40"/>
        <v>6</v>
      </c>
      <c r="J130" s="38">
        <f t="shared" si="40"/>
        <v>5</v>
      </c>
      <c r="K130" s="38">
        <f t="shared" si="40"/>
        <v>5</v>
      </c>
      <c r="L130" s="38">
        <f t="shared" si="40"/>
        <v>5</v>
      </c>
      <c r="M130" s="38">
        <f t="shared" si="40"/>
        <v>5</v>
      </c>
      <c r="N130" s="38">
        <f t="shared" si="40"/>
        <v>5</v>
      </c>
      <c r="O130" s="38">
        <f t="shared" si="40"/>
        <v>4</v>
      </c>
      <c r="P130" s="38">
        <f t="shared" si="40"/>
        <v>6</v>
      </c>
      <c r="Q130" s="38">
        <f t="shared" si="40"/>
        <v>5</v>
      </c>
      <c r="R130" s="38">
        <f t="shared" si="40"/>
        <v>5</v>
      </c>
      <c r="S130" s="38">
        <f t="shared" si="40"/>
        <v>5</v>
      </c>
      <c r="T130" s="38">
        <f t="shared" si="40"/>
        <v>5</v>
      </c>
      <c r="U130" s="38">
        <f t="shared" si="40"/>
        <v>5</v>
      </c>
      <c r="V130" s="38">
        <f t="shared" si="40"/>
        <v>4</v>
      </c>
      <c r="W130" s="38">
        <f t="shared" si="40"/>
        <v>6</v>
      </c>
      <c r="X130" s="38">
        <f t="shared" si="40"/>
        <v>5</v>
      </c>
      <c r="Y130" s="38">
        <f t="shared" si="40"/>
        <v>5</v>
      </c>
    </row>
    <row r="131" spans="1:25" x14ac:dyDescent="0.2">
      <c r="A131" s="8" t="s">
        <v>553</v>
      </c>
      <c r="B131" s="6" t="s">
        <v>554</v>
      </c>
      <c r="C131" s="6" t="s">
        <v>523</v>
      </c>
      <c r="D131" s="8" t="s">
        <v>555</v>
      </c>
      <c r="E131" s="36">
        <f t="shared" ref="E131:Y131" si="41">E129*E128</f>
        <v>31.609756097560975</v>
      </c>
      <c r="F131" s="36">
        <f t="shared" si="41"/>
        <v>31.609756097560975</v>
      </c>
      <c r="G131" s="36">
        <f t="shared" si="41"/>
        <v>31.609756097560975</v>
      </c>
      <c r="H131" s="36">
        <f t="shared" si="41"/>
        <v>28.097560975609756</v>
      </c>
      <c r="I131" s="36">
        <f t="shared" si="41"/>
        <v>38.634146341463413</v>
      </c>
      <c r="J131" s="36">
        <f t="shared" si="41"/>
        <v>31.609756097560975</v>
      </c>
      <c r="K131" s="36">
        <f t="shared" si="41"/>
        <v>31.609756097560975</v>
      </c>
      <c r="L131" s="36">
        <f t="shared" si="41"/>
        <v>31.609756097560975</v>
      </c>
      <c r="M131" s="36">
        <f t="shared" si="41"/>
        <v>31.609756097560975</v>
      </c>
      <c r="N131" s="36">
        <f t="shared" si="41"/>
        <v>31.609756097560975</v>
      </c>
      <c r="O131" s="36">
        <f t="shared" si="41"/>
        <v>28.097560975609756</v>
      </c>
      <c r="P131" s="36">
        <f t="shared" si="41"/>
        <v>38.634146341463413</v>
      </c>
      <c r="Q131" s="36">
        <f t="shared" si="41"/>
        <v>31.609756097560975</v>
      </c>
      <c r="R131" s="36">
        <f t="shared" si="41"/>
        <v>31.609756097560975</v>
      </c>
      <c r="S131" s="36">
        <f t="shared" si="41"/>
        <v>31.609756097560975</v>
      </c>
      <c r="T131" s="36">
        <f t="shared" si="41"/>
        <v>31.609756097560975</v>
      </c>
      <c r="U131" s="36">
        <f t="shared" si="41"/>
        <v>31.609756097560975</v>
      </c>
      <c r="V131" s="36">
        <f t="shared" si="41"/>
        <v>28.097560975609756</v>
      </c>
      <c r="W131" s="36">
        <f t="shared" si="41"/>
        <v>38.634146341463413</v>
      </c>
      <c r="X131" s="36">
        <f t="shared" si="41"/>
        <v>31.609756097560975</v>
      </c>
      <c r="Y131" s="36">
        <f t="shared" si="41"/>
        <v>31.609756097560975</v>
      </c>
    </row>
    <row r="132" spans="1:25" ht="26" x14ac:dyDescent="0.2">
      <c r="A132" s="8" t="s">
        <v>556</v>
      </c>
      <c r="B132" s="6" t="s">
        <v>557</v>
      </c>
      <c r="C132" s="6" t="s">
        <v>558</v>
      </c>
      <c r="D132" s="8" t="s">
        <v>559</v>
      </c>
      <c r="E132" s="40">
        <f t="shared" ref="E132:Y132" si="42">IF(E129&gt;0,E118*E116/(E129*E127),0)</f>
        <v>0.35849375000000006</v>
      </c>
      <c r="F132" s="40">
        <f t="shared" si="42"/>
        <v>0.35849375000000006</v>
      </c>
      <c r="G132" s="40">
        <f t="shared" si="42"/>
        <v>0.35849375000000006</v>
      </c>
      <c r="H132" s="40">
        <f t="shared" si="42"/>
        <v>0.32264437500000009</v>
      </c>
      <c r="I132" s="40">
        <f t="shared" si="42"/>
        <v>0.35197568181818184</v>
      </c>
      <c r="J132" s="40">
        <f t="shared" si="42"/>
        <v>0.35849375000000006</v>
      </c>
      <c r="K132" s="40">
        <f t="shared" si="42"/>
        <v>0.35849375000000006</v>
      </c>
      <c r="L132" s="40">
        <f t="shared" si="42"/>
        <v>0.35849375000000006</v>
      </c>
      <c r="M132" s="40">
        <f t="shared" si="42"/>
        <v>0.35849375000000006</v>
      </c>
      <c r="N132" s="40">
        <f t="shared" si="42"/>
        <v>0.35849375000000006</v>
      </c>
      <c r="O132" s="40">
        <f t="shared" si="42"/>
        <v>0.32264437500000009</v>
      </c>
      <c r="P132" s="40">
        <f t="shared" si="42"/>
        <v>0.35197568181818184</v>
      </c>
      <c r="Q132" s="40">
        <f t="shared" si="42"/>
        <v>0.35849375000000006</v>
      </c>
      <c r="R132" s="40">
        <f t="shared" si="42"/>
        <v>0.35849375000000006</v>
      </c>
      <c r="S132" s="40">
        <f t="shared" si="42"/>
        <v>0.35849375000000006</v>
      </c>
      <c r="T132" s="40">
        <f t="shared" si="42"/>
        <v>0.35849375000000006</v>
      </c>
      <c r="U132" s="40">
        <f t="shared" si="42"/>
        <v>0.35849375000000006</v>
      </c>
      <c r="V132" s="40">
        <f t="shared" si="42"/>
        <v>0.32264437500000009</v>
      </c>
      <c r="W132" s="40">
        <f t="shared" si="42"/>
        <v>0.35197568181818184</v>
      </c>
      <c r="X132" s="40">
        <f t="shared" si="42"/>
        <v>0.35849375000000006</v>
      </c>
      <c r="Y132" s="40">
        <f t="shared" si="42"/>
        <v>0.35849375000000006</v>
      </c>
    </row>
    <row r="133" spans="1:25" x14ac:dyDescent="0.2">
      <c r="A133" s="8" t="s">
        <v>560</v>
      </c>
      <c r="B133" s="6" t="s">
        <v>561</v>
      </c>
      <c r="C133" s="6" t="s">
        <v>55</v>
      </c>
      <c r="D133" s="8" t="s">
        <v>562</v>
      </c>
      <c r="E133" s="39">
        <f t="shared" ref="E133:Y133" si="43">E130*N_charger_kw</f>
        <v>25</v>
      </c>
      <c r="F133" s="39">
        <f t="shared" si="43"/>
        <v>25</v>
      </c>
      <c r="G133" s="39">
        <f t="shared" si="43"/>
        <v>25</v>
      </c>
      <c r="H133" s="39">
        <f t="shared" si="43"/>
        <v>20</v>
      </c>
      <c r="I133" s="39">
        <f t="shared" si="43"/>
        <v>30</v>
      </c>
      <c r="J133" s="39">
        <f t="shared" si="43"/>
        <v>25</v>
      </c>
      <c r="K133" s="39">
        <f t="shared" si="43"/>
        <v>25</v>
      </c>
      <c r="L133" s="39">
        <f t="shared" si="43"/>
        <v>25</v>
      </c>
      <c r="M133" s="39">
        <f t="shared" si="43"/>
        <v>25</v>
      </c>
      <c r="N133" s="39">
        <f t="shared" si="43"/>
        <v>25</v>
      </c>
      <c r="O133" s="39">
        <f t="shared" si="43"/>
        <v>20</v>
      </c>
      <c r="P133" s="39">
        <f t="shared" si="43"/>
        <v>30</v>
      </c>
      <c r="Q133" s="39">
        <f t="shared" si="43"/>
        <v>25</v>
      </c>
      <c r="R133" s="39">
        <f t="shared" si="43"/>
        <v>25</v>
      </c>
      <c r="S133" s="39">
        <f t="shared" si="43"/>
        <v>25</v>
      </c>
      <c r="T133" s="39">
        <f t="shared" si="43"/>
        <v>25</v>
      </c>
      <c r="U133" s="39">
        <f t="shared" si="43"/>
        <v>25</v>
      </c>
      <c r="V133" s="39">
        <f t="shared" si="43"/>
        <v>20</v>
      </c>
      <c r="W133" s="39">
        <f t="shared" si="43"/>
        <v>30</v>
      </c>
      <c r="X133" s="39">
        <f t="shared" si="43"/>
        <v>25</v>
      </c>
      <c r="Y133" s="39">
        <f t="shared" si="43"/>
        <v>25</v>
      </c>
    </row>
    <row r="134" spans="1:25" ht="26" x14ac:dyDescent="0.2">
      <c r="A134" s="8" t="s">
        <v>563</v>
      </c>
      <c r="B134" s="6" t="s">
        <v>564</v>
      </c>
      <c r="C134" s="6"/>
      <c r="D134" s="8" t="s">
        <v>1060</v>
      </c>
      <c r="E134" s="6" t="str">
        <f t="shared" ref="E134:Y134" si="44">IF(E133&lt;=Med_power_kw,"ОК","Требуется усиление сети")</f>
        <v>ОК</v>
      </c>
      <c r="F134" s="6" t="str">
        <f t="shared" si="44"/>
        <v>ОК</v>
      </c>
      <c r="G134" s="6" t="str">
        <f t="shared" si="44"/>
        <v>ОК</v>
      </c>
      <c r="H134" s="6" t="str">
        <f t="shared" si="44"/>
        <v>ОК</v>
      </c>
      <c r="I134" s="6" t="str">
        <f t="shared" si="44"/>
        <v>ОК</v>
      </c>
      <c r="J134" s="6" t="str">
        <f t="shared" si="44"/>
        <v>ОК</v>
      </c>
      <c r="K134" s="6" t="str">
        <f t="shared" si="44"/>
        <v>ОК</v>
      </c>
      <c r="L134" s="6" t="str">
        <f t="shared" si="44"/>
        <v>ОК</v>
      </c>
      <c r="M134" s="6" t="str">
        <f t="shared" si="44"/>
        <v>ОК</v>
      </c>
      <c r="N134" s="6" t="str">
        <f t="shared" si="44"/>
        <v>ОК</v>
      </c>
      <c r="O134" s="6" t="str">
        <f t="shared" si="44"/>
        <v>ОК</v>
      </c>
      <c r="P134" s="6" t="str">
        <f t="shared" si="44"/>
        <v>ОК</v>
      </c>
      <c r="Q134" s="6" t="str">
        <f t="shared" si="44"/>
        <v>ОК</v>
      </c>
      <c r="R134" s="6" t="str">
        <f t="shared" si="44"/>
        <v>ОК</v>
      </c>
      <c r="S134" s="6" t="str">
        <f t="shared" si="44"/>
        <v>ОК</v>
      </c>
      <c r="T134" s="6" t="str">
        <f t="shared" si="44"/>
        <v>ОК</v>
      </c>
      <c r="U134" s="6" t="str">
        <f t="shared" si="44"/>
        <v>ОК</v>
      </c>
      <c r="V134" s="6" t="str">
        <f t="shared" si="44"/>
        <v>ОК</v>
      </c>
      <c r="W134" s="6" t="str">
        <f t="shared" si="44"/>
        <v>ОК</v>
      </c>
      <c r="X134" s="6" t="str">
        <f t="shared" si="44"/>
        <v>ОК</v>
      </c>
      <c r="Y134" s="6" t="str">
        <f t="shared" si="44"/>
        <v>ОК</v>
      </c>
    </row>
    <row r="135" spans="1:25" x14ac:dyDescent="0.2">
      <c r="A135" s="26"/>
      <c r="B135" s="27" t="s">
        <v>566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28" x14ac:dyDescent="0.2">
      <c r="A136" s="8" t="s">
        <v>567</v>
      </c>
      <c r="B136" s="6" t="s">
        <v>568</v>
      </c>
      <c r="C136" s="6" t="s">
        <v>91</v>
      </c>
      <c r="D136" s="8" t="s">
        <v>1061</v>
      </c>
      <c r="E136" s="34">
        <f t="shared" ref="E136:Y136" si="45">Med_base_labor*E$83*E$82</f>
        <v>42486343.200000003</v>
      </c>
      <c r="F136" s="34">
        <f t="shared" si="45"/>
        <v>42486343.200000003</v>
      </c>
      <c r="G136" s="34">
        <f t="shared" si="45"/>
        <v>42486343.200000003</v>
      </c>
      <c r="H136" s="34">
        <f t="shared" si="45"/>
        <v>33989074.560000002</v>
      </c>
      <c r="I136" s="34">
        <f t="shared" si="45"/>
        <v>50983611.840000004</v>
      </c>
      <c r="J136" s="34">
        <f t="shared" si="45"/>
        <v>33989074.560000002</v>
      </c>
      <c r="K136" s="34">
        <f t="shared" si="45"/>
        <v>50983611.840000004</v>
      </c>
      <c r="L136" s="34">
        <f t="shared" si="45"/>
        <v>42486343.200000003</v>
      </c>
      <c r="M136" s="34">
        <f t="shared" si="45"/>
        <v>42486343.200000003</v>
      </c>
      <c r="N136" s="34">
        <f t="shared" si="45"/>
        <v>42486343.200000003</v>
      </c>
      <c r="O136" s="34">
        <f t="shared" si="45"/>
        <v>33989074.560000002</v>
      </c>
      <c r="P136" s="34">
        <f t="shared" si="45"/>
        <v>50983611.840000004</v>
      </c>
      <c r="Q136" s="34">
        <f t="shared" si="45"/>
        <v>33989074.560000002</v>
      </c>
      <c r="R136" s="34">
        <f t="shared" si="45"/>
        <v>50983611.840000004</v>
      </c>
      <c r="S136" s="34">
        <f t="shared" si="45"/>
        <v>42486343.200000003</v>
      </c>
      <c r="T136" s="34">
        <f t="shared" si="45"/>
        <v>42486343.200000003</v>
      </c>
      <c r="U136" s="34">
        <f t="shared" si="45"/>
        <v>42486343.200000003</v>
      </c>
      <c r="V136" s="34">
        <f t="shared" si="45"/>
        <v>33989074.560000002</v>
      </c>
      <c r="W136" s="34">
        <f t="shared" si="45"/>
        <v>50983611.840000004</v>
      </c>
      <c r="X136" s="34">
        <f t="shared" si="45"/>
        <v>33989074.560000002</v>
      </c>
      <c r="Y136" s="34">
        <f t="shared" si="45"/>
        <v>50983611.840000004</v>
      </c>
    </row>
    <row r="137" spans="1:25" x14ac:dyDescent="0.2">
      <c r="A137" s="8" t="s">
        <v>570</v>
      </c>
      <c r="B137" s="37" t="s">
        <v>571</v>
      </c>
      <c r="C137" s="6" t="s">
        <v>91</v>
      </c>
      <c r="D137" s="8" t="s">
        <v>572</v>
      </c>
      <c r="E137" s="41">
        <f t="shared" ref="E137:Y137" si="46">E136</f>
        <v>42486343.200000003</v>
      </c>
      <c r="F137" s="41">
        <f t="shared" si="46"/>
        <v>42486343.200000003</v>
      </c>
      <c r="G137" s="41">
        <f t="shared" si="46"/>
        <v>42486343.200000003</v>
      </c>
      <c r="H137" s="41">
        <f t="shared" si="46"/>
        <v>33989074.560000002</v>
      </c>
      <c r="I137" s="41">
        <f t="shared" si="46"/>
        <v>50983611.840000004</v>
      </c>
      <c r="J137" s="41">
        <f t="shared" si="46"/>
        <v>33989074.560000002</v>
      </c>
      <c r="K137" s="41">
        <f t="shared" si="46"/>
        <v>50983611.840000004</v>
      </c>
      <c r="L137" s="41">
        <f t="shared" si="46"/>
        <v>42486343.200000003</v>
      </c>
      <c r="M137" s="41">
        <f t="shared" si="46"/>
        <v>42486343.200000003</v>
      </c>
      <c r="N137" s="41">
        <f t="shared" si="46"/>
        <v>42486343.200000003</v>
      </c>
      <c r="O137" s="41">
        <f t="shared" si="46"/>
        <v>33989074.560000002</v>
      </c>
      <c r="P137" s="41">
        <f t="shared" si="46"/>
        <v>50983611.840000004</v>
      </c>
      <c r="Q137" s="41">
        <f t="shared" si="46"/>
        <v>33989074.560000002</v>
      </c>
      <c r="R137" s="41">
        <f t="shared" si="46"/>
        <v>50983611.840000004</v>
      </c>
      <c r="S137" s="41">
        <f t="shared" si="46"/>
        <v>42486343.200000003</v>
      </c>
      <c r="T137" s="41">
        <f t="shared" si="46"/>
        <v>42486343.200000003</v>
      </c>
      <c r="U137" s="41">
        <f t="shared" si="46"/>
        <v>42486343.200000003</v>
      </c>
      <c r="V137" s="41">
        <f t="shared" si="46"/>
        <v>33989074.560000002</v>
      </c>
      <c r="W137" s="41">
        <f t="shared" si="46"/>
        <v>50983611.840000004</v>
      </c>
      <c r="X137" s="41">
        <f t="shared" si="46"/>
        <v>33989074.560000002</v>
      </c>
      <c r="Y137" s="41">
        <f t="shared" si="46"/>
        <v>50983611.840000004</v>
      </c>
    </row>
    <row r="138" spans="1:25" x14ac:dyDescent="0.2">
      <c r="A138" s="26"/>
      <c r="B138" s="27" t="s">
        <v>573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x14ac:dyDescent="0.2">
      <c r="A139" s="8" t="s">
        <v>574</v>
      </c>
      <c r="B139" s="6" t="s">
        <v>575</v>
      </c>
      <c r="C139" s="6" t="s">
        <v>323</v>
      </c>
      <c r="D139" s="8" t="s">
        <v>1062</v>
      </c>
      <c r="E139" s="35">
        <f t="shared" ref="E139:Y139" si="47">IF(E$80="Покупка",1,0)</f>
        <v>1</v>
      </c>
      <c r="F139" s="35">
        <f t="shared" si="47"/>
        <v>1</v>
      </c>
      <c r="G139" s="35">
        <f t="shared" si="47"/>
        <v>1</v>
      </c>
      <c r="H139" s="35">
        <f t="shared" si="47"/>
        <v>1</v>
      </c>
      <c r="I139" s="35">
        <f t="shared" si="47"/>
        <v>1</v>
      </c>
      <c r="J139" s="35">
        <f t="shared" si="47"/>
        <v>1</v>
      </c>
      <c r="K139" s="35">
        <f t="shared" si="47"/>
        <v>1</v>
      </c>
      <c r="L139" s="35">
        <f t="shared" si="47"/>
        <v>0</v>
      </c>
      <c r="M139" s="35">
        <f t="shared" si="47"/>
        <v>0</v>
      </c>
      <c r="N139" s="35">
        <f t="shared" si="47"/>
        <v>0</v>
      </c>
      <c r="O139" s="35">
        <f t="shared" si="47"/>
        <v>0</v>
      </c>
      <c r="P139" s="35">
        <f t="shared" si="47"/>
        <v>0</v>
      </c>
      <c r="Q139" s="35">
        <f t="shared" si="47"/>
        <v>0</v>
      </c>
      <c r="R139" s="35">
        <f t="shared" si="47"/>
        <v>0</v>
      </c>
      <c r="S139" s="35">
        <f t="shared" si="47"/>
        <v>1</v>
      </c>
      <c r="T139" s="35">
        <f t="shared" si="47"/>
        <v>1</v>
      </c>
      <c r="U139" s="35">
        <f t="shared" si="47"/>
        <v>1</v>
      </c>
      <c r="V139" s="35">
        <f t="shared" si="47"/>
        <v>1</v>
      </c>
      <c r="W139" s="35">
        <f t="shared" si="47"/>
        <v>1</v>
      </c>
      <c r="X139" s="35">
        <f t="shared" si="47"/>
        <v>1</v>
      </c>
      <c r="Y139" s="35">
        <f t="shared" si="47"/>
        <v>1</v>
      </c>
    </row>
    <row r="140" spans="1:25" x14ac:dyDescent="0.2">
      <c r="A140" s="8" t="s">
        <v>577</v>
      </c>
      <c r="B140" s="6" t="s">
        <v>578</v>
      </c>
      <c r="C140" s="6" t="s">
        <v>51</v>
      </c>
      <c r="D140" s="8" t="s">
        <v>579</v>
      </c>
      <c r="E140" s="34">
        <f t="shared" ref="E140:Y140" si="48">E129*E91*E139</f>
        <v>21600000</v>
      </c>
      <c r="F140" s="34">
        <f t="shared" si="48"/>
        <v>17280000</v>
      </c>
      <c r="G140" s="34">
        <f t="shared" si="48"/>
        <v>25920000</v>
      </c>
      <c r="H140" s="34">
        <f t="shared" si="48"/>
        <v>19200000</v>
      </c>
      <c r="I140" s="34">
        <f t="shared" si="48"/>
        <v>26400000</v>
      </c>
      <c r="J140" s="34">
        <f t="shared" si="48"/>
        <v>21600000</v>
      </c>
      <c r="K140" s="34">
        <f t="shared" si="48"/>
        <v>21600000</v>
      </c>
      <c r="L140" s="34">
        <f t="shared" si="48"/>
        <v>0</v>
      </c>
      <c r="M140" s="34">
        <f t="shared" si="48"/>
        <v>0</v>
      </c>
      <c r="N140" s="34">
        <f t="shared" si="48"/>
        <v>0</v>
      </c>
      <c r="O140" s="34">
        <f t="shared" si="48"/>
        <v>0</v>
      </c>
      <c r="P140" s="34">
        <f t="shared" si="48"/>
        <v>0</v>
      </c>
      <c r="Q140" s="34">
        <f t="shared" si="48"/>
        <v>0</v>
      </c>
      <c r="R140" s="34">
        <f t="shared" si="48"/>
        <v>0</v>
      </c>
      <c r="S140" s="34">
        <f t="shared" si="48"/>
        <v>16200000</v>
      </c>
      <c r="T140" s="34">
        <f t="shared" si="48"/>
        <v>12960000</v>
      </c>
      <c r="U140" s="34">
        <f t="shared" si="48"/>
        <v>19440000</v>
      </c>
      <c r="V140" s="34">
        <f t="shared" si="48"/>
        <v>14400000</v>
      </c>
      <c r="W140" s="34">
        <f t="shared" si="48"/>
        <v>19800000</v>
      </c>
      <c r="X140" s="34">
        <f t="shared" si="48"/>
        <v>16200000</v>
      </c>
      <c r="Y140" s="34">
        <f t="shared" si="48"/>
        <v>16200000</v>
      </c>
    </row>
    <row r="141" spans="1:25" x14ac:dyDescent="0.2">
      <c r="A141" s="8" t="s">
        <v>580</v>
      </c>
      <c r="B141" s="6" t="s">
        <v>581</v>
      </c>
      <c r="C141" s="6" t="s">
        <v>51</v>
      </c>
      <c r="D141" s="8" t="s">
        <v>582</v>
      </c>
      <c r="E141" s="34">
        <f t="shared" ref="E141:Y141" si="49">E130*N_charger_price*E139</f>
        <v>5000</v>
      </c>
      <c r="F141" s="34">
        <f t="shared" si="49"/>
        <v>5000</v>
      </c>
      <c r="G141" s="34">
        <f t="shared" si="49"/>
        <v>5000</v>
      </c>
      <c r="H141" s="34">
        <f t="shared" si="49"/>
        <v>4000</v>
      </c>
      <c r="I141" s="34">
        <f t="shared" si="49"/>
        <v>6000</v>
      </c>
      <c r="J141" s="34">
        <f t="shared" si="49"/>
        <v>5000</v>
      </c>
      <c r="K141" s="34">
        <f t="shared" si="49"/>
        <v>5000</v>
      </c>
      <c r="L141" s="34">
        <f t="shared" si="49"/>
        <v>0</v>
      </c>
      <c r="M141" s="34">
        <f t="shared" si="49"/>
        <v>0</v>
      </c>
      <c r="N141" s="34">
        <f t="shared" si="49"/>
        <v>0</v>
      </c>
      <c r="O141" s="34">
        <f t="shared" si="49"/>
        <v>0</v>
      </c>
      <c r="P141" s="34">
        <f t="shared" si="49"/>
        <v>0</v>
      </c>
      <c r="Q141" s="34">
        <f t="shared" si="49"/>
        <v>0</v>
      </c>
      <c r="R141" s="34">
        <f t="shared" si="49"/>
        <v>0</v>
      </c>
      <c r="S141" s="34">
        <f t="shared" si="49"/>
        <v>5000</v>
      </c>
      <c r="T141" s="34">
        <f t="shared" si="49"/>
        <v>5000</v>
      </c>
      <c r="U141" s="34">
        <f t="shared" si="49"/>
        <v>5000</v>
      </c>
      <c r="V141" s="34">
        <f t="shared" si="49"/>
        <v>4000</v>
      </c>
      <c r="W141" s="34">
        <f t="shared" si="49"/>
        <v>6000</v>
      </c>
      <c r="X141" s="34">
        <f t="shared" si="49"/>
        <v>5000</v>
      </c>
      <c r="Y141" s="34">
        <f t="shared" si="49"/>
        <v>5000</v>
      </c>
    </row>
    <row r="142" spans="1:25" ht="28" x14ac:dyDescent="0.2">
      <c r="A142" s="8" t="s">
        <v>583</v>
      </c>
      <c r="B142" s="6" t="s">
        <v>584</v>
      </c>
      <c r="C142" s="6" t="s">
        <v>51</v>
      </c>
      <c r="D142" s="8" t="s">
        <v>1063</v>
      </c>
      <c r="E142" s="34">
        <f t="shared" ref="E142:Y142" si="50">E129*E91*Med_site_pct</f>
        <v>3240000</v>
      </c>
      <c r="F142" s="34">
        <f t="shared" si="50"/>
        <v>2592000</v>
      </c>
      <c r="G142" s="34">
        <f t="shared" si="50"/>
        <v>3888000</v>
      </c>
      <c r="H142" s="34">
        <f t="shared" si="50"/>
        <v>2880000</v>
      </c>
      <c r="I142" s="34">
        <f t="shared" si="50"/>
        <v>3960000</v>
      </c>
      <c r="J142" s="34">
        <f t="shared" si="50"/>
        <v>3240000</v>
      </c>
      <c r="K142" s="34">
        <f t="shared" si="50"/>
        <v>3240000</v>
      </c>
      <c r="L142" s="34">
        <f t="shared" si="50"/>
        <v>3240000</v>
      </c>
      <c r="M142" s="34">
        <f t="shared" si="50"/>
        <v>2592000</v>
      </c>
      <c r="N142" s="34">
        <f t="shared" si="50"/>
        <v>3888000</v>
      </c>
      <c r="O142" s="34">
        <f t="shared" si="50"/>
        <v>2880000</v>
      </c>
      <c r="P142" s="34">
        <f t="shared" si="50"/>
        <v>3960000</v>
      </c>
      <c r="Q142" s="34">
        <f t="shared" si="50"/>
        <v>3240000</v>
      </c>
      <c r="R142" s="34">
        <f t="shared" si="50"/>
        <v>3240000</v>
      </c>
      <c r="S142" s="34">
        <f t="shared" si="50"/>
        <v>2430000</v>
      </c>
      <c r="T142" s="34">
        <f t="shared" si="50"/>
        <v>1944000</v>
      </c>
      <c r="U142" s="34">
        <f t="shared" si="50"/>
        <v>2916000</v>
      </c>
      <c r="V142" s="34">
        <f t="shared" si="50"/>
        <v>2160000</v>
      </c>
      <c r="W142" s="34">
        <f t="shared" si="50"/>
        <v>2970000</v>
      </c>
      <c r="X142" s="34">
        <f t="shared" si="50"/>
        <v>2430000</v>
      </c>
      <c r="Y142" s="34">
        <f t="shared" si="50"/>
        <v>2430000</v>
      </c>
    </row>
    <row r="143" spans="1:25" x14ac:dyDescent="0.2">
      <c r="A143" s="8" t="s">
        <v>586</v>
      </c>
      <c r="B143" s="6" t="s">
        <v>587</v>
      </c>
      <c r="C143" s="6" t="s">
        <v>51</v>
      </c>
      <c r="D143" s="8" t="s">
        <v>588</v>
      </c>
      <c r="E143" s="34">
        <f t="shared" ref="E143:Y143" si="51">E140*N_sw_pct</f>
        <v>2160000</v>
      </c>
      <c r="F143" s="34">
        <f t="shared" si="51"/>
        <v>1728000</v>
      </c>
      <c r="G143" s="34">
        <f t="shared" si="51"/>
        <v>2592000</v>
      </c>
      <c r="H143" s="34">
        <f t="shared" si="51"/>
        <v>1920000</v>
      </c>
      <c r="I143" s="34">
        <f t="shared" si="51"/>
        <v>2640000</v>
      </c>
      <c r="J143" s="34">
        <f t="shared" si="51"/>
        <v>2160000</v>
      </c>
      <c r="K143" s="34">
        <f t="shared" si="51"/>
        <v>2160000</v>
      </c>
      <c r="L143" s="34">
        <f t="shared" si="51"/>
        <v>0</v>
      </c>
      <c r="M143" s="34">
        <f t="shared" si="51"/>
        <v>0</v>
      </c>
      <c r="N143" s="34">
        <f t="shared" si="51"/>
        <v>0</v>
      </c>
      <c r="O143" s="34">
        <f t="shared" si="51"/>
        <v>0</v>
      </c>
      <c r="P143" s="34">
        <f t="shared" si="51"/>
        <v>0</v>
      </c>
      <c r="Q143" s="34">
        <f t="shared" si="51"/>
        <v>0</v>
      </c>
      <c r="R143" s="34">
        <f t="shared" si="51"/>
        <v>0</v>
      </c>
      <c r="S143" s="34">
        <f t="shared" si="51"/>
        <v>1620000</v>
      </c>
      <c r="T143" s="34">
        <f t="shared" si="51"/>
        <v>1296000</v>
      </c>
      <c r="U143" s="34">
        <f t="shared" si="51"/>
        <v>1944000</v>
      </c>
      <c r="V143" s="34">
        <f t="shared" si="51"/>
        <v>1440000</v>
      </c>
      <c r="W143" s="34">
        <f t="shared" si="51"/>
        <v>1980000</v>
      </c>
      <c r="X143" s="34">
        <f t="shared" si="51"/>
        <v>1620000</v>
      </c>
      <c r="Y143" s="34">
        <f t="shared" si="51"/>
        <v>1620000</v>
      </c>
    </row>
    <row r="144" spans="1:25" x14ac:dyDescent="0.2">
      <c r="A144" s="8" t="s">
        <v>589</v>
      </c>
      <c r="B144" s="6" t="s">
        <v>590</v>
      </c>
      <c r="C144" s="6" t="s">
        <v>51</v>
      </c>
      <c r="D144" s="8" t="s">
        <v>1064</v>
      </c>
      <c r="E144" s="34">
        <f t="shared" ref="E144:Y144" si="52">Med_integration*IF(E129&gt;0,1,0)</f>
        <v>2500000</v>
      </c>
      <c r="F144" s="34">
        <f t="shared" si="52"/>
        <v>2500000</v>
      </c>
      <c r="G144" s="34">
        <f t="shared" si="52"/>
        <v>2500000</v>
      </c>
      <c r="H144" s="34">
        <f t="shared" si="52"/>
        <v>2500000</v>
      </c>
      <c r="I144" s="34">
        <f t="shared" si="52"/>
        <v>2500000</v>
      </c>
      <c r="J144" s="34">
        <f t="shared" si="52"/>
        <v>2500000</v>
      </c>
      <c r="K144" s="34">
        <f t="shared" si="52"/>
        <v>2500000</v>
      </c>
      <c r="L144" s="34">
        <f t="shared" si="52"/>
        <v>2500000</v>
      </c>
      <c r="M144" s="34">
        <f t="shared" si="52"/>
        <v>2500000</v>
      </c>
      <c r="N144" s="34">
        <f t="shared" si="52"/>
        <v>2500000</v>
      </c>
      <c r="O144" s="34">
        <f t="shared" si="52"/>
        <v>2500000</v>
      </c>
      <c r="P144" s="34">
        <f t="shared" si="52"/>
        <v>2500000</v>
      </c>
      <c r="Q144" s="34">
        <f t="shared" si="52"/>
        <v>2500000</v>
      </c>
      <c r="R144" s="34">
        <f t="shared" si="52"/>
        <v>2500000</v>
      </c>
      <c r="S144" s="34">
        <f t="shared" si="52"/>
        <v>2500000</v>
      </c>
      <c r="T144" s="34">
        <f t="shared" si="52"/>
        <v>2500000</v>
      </c>
      <c r="U144" s="34">
        <f t="shared" si="52"/>
        <v>2500000</v>
      </c>
      <c r="V144" s="34">
        <f t="shared" si="52"/>
        <v>2500000</v>
      </c>
      <c r="W144" s="34">
        <f t="shared" si="52"/>
        <v>2500000</v>
      </c>
      <c r="X144" s="34">
        <f t="shared" si="52"/>
        <v>2500000</v>
      </c>
      <c r="Y144" s="34">
        <f t="shared" si="52"/>
        <v>2500000</v>
      </c>
    </row>
    <row r="145" spans="1:25" x14ac:dyDescent="0.2">
      <c r="A145" s="8" t="s">
        <v>592</v>
      </c>
      <c r="B145" s="6" t="s">
        <v>593</v>
      </c>
      <c r="C145" s="6" t="s">
        <v>51</v>
      </c>
      <c r="D145" s="8" t="s">
        <v>594</v>
      </c>
      <c r="E145" s="34">
        <f t="shared" ref="E145:Y145" si="53">E140*N_delivery_pct</f>
        <v>1080000</v>
      </c>
      <c r="F145" s="34">
        <f t="shared" si="53"/>
        <v>864000</v>
      </c>
      <c r="G145" s="34">
        <f t="shared" si="53"/>
        <v>1296000</v>
      </c>
      <c r="H145" s="34">
        <f t="shared" si="53"/>
        <v>960000</v>
      </c>
      <c r="I145" s="34">
        <f t="shared" si="53"/>
        <v>1320000</v>
      </c>
      <c r="J145" s="34">
        <f t="shared" si="53"/>
        <v>1080000</v>
      </c>
      <c r="K145" s="34">
        <f t="shared" si="53"/>
        <v>1080000</v>
      </c>
      <c r="L145" s="34">
        <f t="shared" si="53"/>
        <v>0</v>
      </c>
      <c r="M145" s="34">
        <f t="shared" si="53"/>
        <v>0</v>
      </c>
      <c r="N145" s="34">
        <f t="shared" si="53"/>
        <v>0</v>
      </c>
      <c r="O145" s="34">
        <f t="shared" si="53"/>
        <v>0</v>
      </c>
      <c r="P145" s="34">
        <f t="shared" si="53"/>
        <v>0</v>
      </c>
      <c r="Q145" s="34">
        <f t="shared" si="53"/>
        <v>0</v>
      </c>
      <c r="R145" s="34">
        <f t="shared" si="53"/>
        <v>0</v>
      </c>
      <c r="S145" s="34">
        <f t="shared" si="53"/>
        <v>810000</v>
      </c>
      <c r="T145" s="34">
        <f t="shared" si="53"/>
        <v>648000</v>
      </c>
      <c r="U145" s="34">
        <f t="shared" si="53"/>
        <v>972000</v>
      </c>
      <c r="V145" s="34">
        <f t="shared" si="53"/>
        <v>720000</v>
      </c>
      <c r="W145" s="34">
        <f t="shared" si="53"/>
        <v>990000</v>
      </c>
      <c r="X145" s="34">
        <f t="shared" si="53"/>
        <v>810000</v>
      </c>
      <c r="Y145" s="34">
        <f t="shared" si="53"/>
        <v>810000</v>
      </c>
    </row>
    <row r="146" spans="1:25" ht="26" x14ac:dyDescent="0.2">
      <c r="A146" s="8" t="s">
        <v>595</v>
      </c>
      <c r="B146" s="6" t="s">
        <v>596</v>
      </c>
      <c r="C146" s="6" t="s">
        <v>51</v>
      </c>
      <c r="D146" s="8" t="s">
        <v>597</v>
      </c>
      <c r="E146" s="34">
        <f t="shared" ref="E146:Y146" si="54">E140*N_pnr_pct+(1-E139)*E129*E91*N_raas_setup</f>
        <v>2160000</v>
      </c>
      <c r="F146" s="34">
        <f t="shared" si="54"/>
        <v>1728000</v>
      </c>
      <c r="G146" s="34">
        <f t="shared" si="54"/>
        <v>2592000</v>
      </c>
      <c r="H146" s="34">
        <f t="shared" si="54"/>
        <v>1920000</v>
      </c>
      <c r="I146" s="34">
        <f t="shared" si="54"/>
        <v>2640000</v>
      </c>
      <c r="J146" s="34">
        <f t="shared" si="54"/>
        <v>2160000</v>
      </c>
      <c r="K146" s="34">
        <f t="shared" si="54"/>
        <v>2160000</v>
      </c>
      <c r="L146" s="34">
        <f t="shared" si="54"/>
        <v>2160000</v>
      </c>
      <c r="M146" s="34">
        <f t="shared" si="54"/>
        <v>1728000</v>
      </c>
      <c r="N146" s="34">
        <f t="shared" si="54"/>
        <v>2592000</v>
      </c>
      <c r="O146" s="34">
        <f t="shared" si="54"/>
        <v>1920000</v>
      </c>
      <c r="P146" s="34">
        <f t="shared" si="54"/>
        <v>2640000</v>
      </c>
      <c r="Q146" s="34">
        <f t="shared" si="54"/>
        <v>2160000</v>
      </c>
      <c r="R146" s="34">
        <f t="shared" si="54"/>
        <v>2160000</v>
      </c>
      <c r="S146" s="34">
        <f t="shared" si="54"/>
        <v>1620000</v>
      </c>
      <c r="T146" s="34">
        <f t="shared" si="54"/>
        <v>1296000</v>
      </c>
      <c r="U146" s="34">
        <f t="shared" si="54"/>
        <v>1944000</v>
      </c>
      <c r="V146" s="34">
        <f t="shared" si="54"/>
        <v>1440000</v>
      </c>
      <c r="W146" s="34">
        <f t="shared" si="54"/>
        <v>1980000</v>
      </c>
      <c r="X146" s="34">
        <f t="shared" si="54"/>
        <v>1620000</v>
      </c>
      <c r="Y146" s="34">
        <f t="shared" si="54"/>
        <v>1620000</v>
      </c>
    </row>
    <row r="147" spans="1:25" x14ac:dyDescent="0.2">
      <c r="A147" s="8" t="s">
        <v>598</v>
      </c>
      <c r="B147" s="6" t="s">
        <v>599</v>
      </c>
      <c r="C147" s="6" t="s">
        <v>51</v>
      </c>
      <c r="D147" s="8" t="s">
        <v>600</v>
      </c>
      <c r="E147" s="34">
        <f t="shared" ref="E147:Y147" si="55">N_training*IF(E129&gt;0,1,0)</f>
        <v>500</v>
      </c>
      <c r="F147" s="34">
        <f t="shared" si="55"/>
        <v>500</v>
      </c>
      <c r="G147" s="34">
        <f t="shared" si="55"/>
        <v>500</v>
      </c>
      <c r="H147" s="34">
        <f t="shared" si="55"/>
        <v>500</v>
      </c>
      <c r="I147" s="34">
        <f t="shared" si="55"/>
        <v>500</v>
      </c>
      <c r="J147" s="34">
        <f t="shared" si="55"/>
        <v>500</v>
      </c>
      <c r="K147" s="34">
        <f t="shared" si="55"/>
        <v>500</v>
      </c>
      <c r="L147" s="34">
        <f t="shared" si="55"/>
        <v>500</v>
      </c>
      <c r="M147" s="34">
        <f t="shared" si="55"/>
        <v>500</v>
      </c>
      <c r="N147" s="34">
        <f t="shared" si="55"/>
        <v>500</v>
      </c>
      <c r="O147" s="34">
        <f t="shared" si="55"/>
        <v>500</v>
      </c>
      <c r="P147" s="34">
        <f t="shared" si="55"/>
        <v>500</v>
      </c>
      <c r="Q147" s="34">
        <f t="shared" si="55"/>
        <v>500</v>
      </c>
      <c r="R147" s="34">
        <f t="shared" si="55"/>
        <v>500</v>
      </c>
      <c r="S147" s="34">
        <f t="shared" si="55"/>
        <v>500</v>
      </c>
      <c r="T147" s="34">
        <f t="shared" si="55"/>
        <v>500</v>
      </c>
      <c r="U147" s="34">
        <f t="shared" si="55"/>
        <v>500</v>
      </c>
      <c r="V147" s="34">
        <f t="shared" si="55"/>
        <v>500</v>
      </c>
      <c r="W147" s="34">
        <f t="shared" si="55"/>
        <v>500</v>
      </c>
      <c r="X147" s="34">
        <f t="shared" si="55"/>
        <v>500</v>
      </c>
      <c r="Y147" s="34">
        <f t="shared" si="55"/>
        <v>500</v>
      </c>
    </row>
    <row r="148" spans="1:25" ht="39" x14ac:dyDescent="0.2">
      <c r="A148" s="8" t="s">
        <v>601</v>
      </c>
      <c r="B148" s="6" t="s">
        <v>602</v>
      </c>
      <c r="C148" s="6" t="s">
        <v>51</v>
      </c>
      <c r="D148" s="8" t="s">
        <v>603</v>
      </c>
      <c r="E148" s="34">
        <f t="shared" ref="E148:Y148" si="56">E140+E141+E142+E143+E144+E145+E146+E147</f>
        <v>32745500</v>
      </c>
      <c r="F148" s="34">
        <f t="shared" si="56"/>
        <v>26697500</v>
      </c>
      <c r="G148" s="34">
        <f t="shared" si="56"/>
        <v>38793500</v>
      </c>
      <c r="H148" s="34">
        <f t="shared" si="56"/>
        <v>29384500</v>
      </c>
      <c r="I148" s="34">
        <f t="shared" si="56"/>
        <v>39466500</v>
      </c>
      <c r="J148" s="34">
        <f t="shared" si="56"/>
        <v>32745500</v>
      </c>
      <c r="K148" s="34">
        <f t="shared" si="56"/>
        <v>32745500</v>
      </c>
      <c r="L148" s="34">
        <f t="shared" si="56"/>
        <v>7900500</v>
      </c>
      <c r="M148" s="34">
        <f t="shared" si="56"/>
        <v>6820500</v>
      </c>
      <c r="N148" s="34">
        <f t="shared" si="56"/>
        <v>8980500</v>
      </c>
      <c r="O148" s="34">
        <f t="shared" si="56"/>
        <v>7300500</v>
      </c>
      <c r="P148" s="34">
        <f t="shared" si="56"/>
        <v>9100500</v>
      </c>
      <c r="Q148" s="34">
        <f t="shared" si="56"/>
        <v>7900500</v>
      </c>
      <c r="R148" s="34">
        <f t="shared" si="56"/>
        <v>7900500</v>
      </c>
      <c r="S148" s="34">
        <f t="shared" si="56"/>
        <v>25185500</v>
      </c>
      <c r="T148" s="34">
        <f t="shared" si="56"/>
        <v>20649500</v>
      </c>
      <c r="U148" s="34">
        <f t="shared" si="56"/>
        <v>29721500</v>
      </c>
      <c r="V148" s="34">
        <f t="shared" si="56"/>
        <v>22664500</v>
      </c>
      <c r="W148" s="34">
        <f t="shared" si="56"/>
        <v>30226500</v>
      </c>
      <c r="X148" s="34">
        <f t="shared" si="56"/>
        <v>25185500</v>
      </c>
      <c r="Y148" s="34">
        <f t="shared" si="56"/>
        <v>25185500</v>
      </c>
    </row>
    <row r="149" spans="1:25" x14ac:dyDescent="0.2">
      <c r="A149" s="8" t="s">
        <v>604</v>
      </c>
      <c r="B149" s="6" t="s">
        <v>605</v>
      </c>
      <c r="C149" s="6" t="s">
        <v>51</v>
      </c>
      <c r="D149" s="8" t="s">
        <v>606</v>
      </c>
      <c r="E149" s="34">
        <f t="shared" ref="E149:Y149" si="57">E148*N_capex_reserve</f>
        <v>3274550</v>
      </c>
      <c r="F149" s="34">
        <f t="shared" si="57"/>
        <v>2669750</v>
      </c>
      <c r="G149" s="34">
        <f t="shared" si="57"/>
        <v>3879350</v>
      </c>
      <c r="H149" s="34">
        <f t="shared" si="57"/>
        <v>2938450</v>
      </c>
      <c r="I149" s="34">
        <f t="shared" si="57"/>
        <v>3946650</v>
      </c>
      <c r="J149" s="34">
        <f t="shared" si="57"/>
        <v>3274550</v>
      </c>
      <c r="K149" s="34">
        <f t="shared" si="57"/>
        <v>3274550</v>
      </c>
      <c r="L149" s="34">
        <f t="shared" si="57"/>
        <v>790050</v>
      </c>
      <c r="M149" s="34">
        <f t="shared" si="57"/>
        <v>682050</v>
      </c>
      <c r="N149" s="34">
        <f t="shared" si="57"/>
        <v>898050</v>
      </c>
      <c r="O149" s="34">
        <f t="shared" si="57"/>
        <v>730050</v>
      </c>
      <c r="P149" s="34">
        <f t="shared" si="57"/>
        <v>910050</v>
      </c>
      <c r="Q149" s="34">
        <f t="shared" si="57"/>
        <v>790050</v>
      </c>
      <c r="R149" s="34">
        <f t="shared" si="57"/>
        <v>790050</v>
      </c>
      <c r="S149" s="34">
        <f t="shared" si="57"/>
        <v>2518550</v>
      </c>
      <c r="T149" s="34">
        <f t="shared" si="57"/>
        <v>2064950</v>
      </c>
      <c r="U149" s="34">
        <f t="shared" si="57"/>
        <v>2972150</v>
      </c>
      <c r="V149" s="34">
        <f t="shared" si="57"/>
        <v>2266450</v>
      </c>
      <c r="W149" s="34">
        <f t="shared" si="57"/>
        <v>3022650</v>
      </c>
      <c r="X149" s="34">
        <f t="shared" si="57"/>
        <v>2518550</v>
      </c>
      <c r="Y149" s="34">
        <f t="shared" si="57"/>
        <v>2518550</v>
      </c>
    </row>
    <row r="150" spans="1:25" x14ac:dyDescent="0.2">
      <c r="A150" s="8" t="s">
        <v>607</v>
      </c>
      <c r="B150" s="37" t="s">
        <v>608</v>
      </c>
      <c r="C150" s="6" t="s">
        <v>51</v>
      </c>
      <c r="D150" s="8" t="s">
        <v>609</v>
      </c>
      <c r="E150" s="41">
        <f t="shared" ref="E150:Y150" si="58">E148+E149</f>
        <v>36020050</v>
      </c>
      <c r="F150" s="41">
        <f t="shared" si="58"/>
        <v>29367250</v>
      </c>
      <c r="G150" s="41">
        <f t="shared" si="58"/>
        <v>42672850</v>
      </c>
      <c r="H150" s="41">
        <f t="shared" si="58"/>
        <v>32322950</v>
      </c>
      <c r="I150" s="41">
        <f t="shared" si="58"/>
        <v>43413150</v>
      </c>
      <c r="J150" s="41">
        <f t="shared" si="58"/>
        <v>36020050</v>
      </c>
      <c r="K150" s="41">
        <f t="shared" si="58"/>
        <v>36020050</v>
      </c>
      <c r="L150" s="41">
        <f t="shared" si="58"/>
        <v>8690550</v>
      </c>
      <c r="M150" s="41">
        <f t="shared" si="58"/>
        <v>7502550</v>
      </c>
      <c r="N150" s="41">
        <f t="shared" si="58"/>
        <v>9878550</v>
      </c>
      <c r="O150" s="41">
        <f t="shared" si="58"/>
        <v>8030550</v>
      </c>
      <c r="P150" s="41">
        <f t="shared" si="58"/>
        <v>10010550</v>
      </c>
      <c r="Q150" s="41">
        <f t="shared" si="58"/>
        <v>8690550</v>
      </c>
      <c r="R150" s="41">
        <f t="shared" si="58"/>
        <v>8690550</v>
      </c>
      <c r="S150" s="41">
        <f t="shared" si="58"/>
        <v>27704050</v>
      </c>
      <c r="T150" s="41">
        <f t="shared" si="58"/>
        <v>22714450</v>
      </c>
      <c r="U150" s="41">
        <f t="shared" si="58"/>
        <v>32693650</v>
      </c>
      <c r="V150" s="41">
        <f t="shared" si="58"/>
        <v>24930950</v>
      </c>
      <c r="W150" s="41">
        <f t="shared" si="58"/>
        <v>33249150</v>
      </c>
      <c r="X150" s="41">
        <f t="shared" si="58"/>
        <v>27704050</v>
      </c>
      <c r="Y150" s="41">
        <f t="shared" si="58"/>
        <v>27704050</v>
      </c>
    </row>
    <row r="151" spans="1:25" ht="26" x14ac:dyDescent="0.2">
      <c r="A151" s="8" t="s">
        <v>610</v>
      </c>
      <c r="B151" s="6" t="s">
        <v>611</v>
      </c>
      <c r="C151" s="6"/>
      <c r="D151" s="8" t="s">
        <v>1065</v>
      </c>
      <c r="E151" s="6" t="str">
        <f t="shared" ref="E151:Y151" si="59">IF(E150&lt;=Med_budget*1000000,"В бюджете","Превышает бюджет")</f>
        <v>Превышает бюджет</v>
      </c>
      <c r="F151" s="6" t="str">
        <f t="shared" si="59"/>
        <v>В бюджете</v>
      </c>
      <c r="G151" s="6" t="str">
        <f t="shared" si="59"/>
        <v>Превышает бюджет</v>
      </c>
      <c r="H151" s="6" t="str">
        <f t="shared" si="59"/>
        <v>В бюджете</v>
      </c>
      <c r="I151" s="6" t="str">
        <f t="shared" si="59"/>
        <v>Превышает бюджет</v>
      </c>
      <c r="J151" s="6" t="str">
        <f t="shared" si="59"/>
        <v>Превышает бюджет</v>
      </c>
      <c r="K151" s="6" t="str">
        <f t="shared" si="59"/>
        <v>Превышает бюджет</v>
      </c>
      <c r="L151" s="6" t="str">
        <f t="shared" si="59"/>
        <v>В бюджете</v>
      </c>
      <c r="M151" s="6" t="str">
        <f t="shared" si="59"/>
        <v>В бюджете</v>
      </c>
      <c r="N151" s="6" t="str">
        <f t="shared" si="59"/>
        <v>В бюджете</v>
      </c>
      <c r="O151" s="6" t="str">
        <f t="shared" si="59"/>
        <v>В бюджете</v>
      </c>
      <c r="P151" s="6" t="str">
        <f t="shared" si="59"/>
        <v>В бюджете</v>
      </c>
      <c r="Q151" s="6" t="str">
        <f t="shared" si="59"/>
        <v>В бюджете</v>
      </c>
      <c r="R151" s="6" t="str">
        <f t="shared" si="59"/>
        <v>В бюджете</v>
      </c>
      <c r="S151" s="6" t="str">
        <f t="shared" si="59"/>
        <v>В бюджете</v>
      </c>
      <c r="T151" s="6" t="str">
        <f t="shared" si="59"/>
        <v>В бюджете</v>
      </c>
      <c r="U151" s="6" t="str">
        <f t="shared" si="59"/>
        <v>В бюджете</v>
      </c>
      <c r="V151" s="6" t="str">
        <f t="shared" si="59"/>
        <v>В бюджете</v>
      </c>
      <c r="W151" s="6" t="str">
        <f t="shared" si="59"/>
        <v>В бюджете</v>
      </c>
      <c r="X151" s="6" t="str">
        <f t="shared" si="59"/>
        <v>В бюджете</v>
      </c>
      <c r="Y151" s="6" t="str">
        <f t="shared" si="59"/>
        <v>В бюджете</v>
      </c>
    </row>
    <row r="152" spans="1:25" x14ac:dyDescent="0.2">
      <c r="A152" s="26"/>
      <c r="B152" s="27" t="s">
        <v>613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28" x14ac:dyDescent="0.2">
      <c r="A153" s="8" t="s">
        <v>614</v>
      </c>
      <c r="B153" s="6" t="s">
        <v>615</v>
      </c>
      <c r="C153" s="6" t="s">
        <v>91</v>
      </c>
      <c r="D153" s="8" t="s">
        <v>616</v>
      </c>
      <c r="E153" s="34">
        <f t="shared" ref="E153:Y153" si="60">(1-E139)*E129*E91*N_raas_pct*12</f>
        <v>0</v>
      </c>
      <c r="F153" s="34">
        <f t="shared" si="60"/>
        <v>0</v>
      </c>
      <c r="G153" s="34">
        <f t="shared" si="60"/>
        <v>0</v>
      </c>
      <c r="H153" s="34">
        <f t="shared" si="60"/>
        <v>0</v>
      </c>
      <c r="I153" s="34">
        <f t="shared" si="60"/>
        <v>0</v>
      </c>
      <c r="J153" s="34">
        <f t="shared" si="60"/>
        <v>0</v>
      </c>
      <c r="K153" s="34">
        <f t="shared" si="60"/>
        <v>0</v>
      </c>
      <c r="L153" s="34">
        <f t="shared" si="60"/>
        <v>5184000</v>
      </c>
      <c r="M153" s="34">
        <f t="shared" si="60"/>
        <v>4147200</v>
      </c>
      <c r="N153" s="34">
        <f t="shared" si="60"/>
        <v>6220800</v>
      </c>
      <c r="O153" s="34">
        <f t="shared" si="60"/>
        <v>4608000</v>
      </c>
      <c r="P153" s="34">
        <f t="shared" si="60"/>
        <v>6336000</v>
      </c>
      <c r="Q153" s="34">
        <f t="shared" si="60"/>
        <v>5184000</v>
      </c>
      <c r="R153" s="34">
        <f t="shared" si="60"/>
        <v>5184000</v>
      </c>
      <c r="S153" s="34">
        <f t="shared" si="60"/>
        <v>0</v>
      </c>
      <c r="T153" s="34">
        <f t="shared" si="60"/>
        <v>0</v>
      </c>
      <c r="U153" s="34">
        <f t="shared" si="60"/>
        <v>0</v>
      </c>
      <c r="V153" s="34">
        <f t="shared" si="60"/>
        <v>0</v>
      </c>
      <c r="W153" s="34">
        <f t="shared" si="60"/>
        <v>0</v>
      </c>
      <c r="X153" s="34">
        <f t="shared" si="60"/>
        <v>0</v>
      </c>
      <c r="Y153" s="34">
        <f t="shared" si="60"/>
        <v>0</v>
      </c>
    </row>
    <row r="154" spans="1:25" x14ac:dyDescent="0.2">
      <c r="A154" s="8" t="s">
        <v>617</v>
      </c>
      <c r="B154" s="6" t="s">
        <v>618</v>
      </c>
      <c r="C154" s="6" t="s">
        <v>91</v>
      </c>
      <c r="D154" s="8" t="s">
        <v>619</v>
      </c>
      <c r="E154" s="34">
        <f t="shared" ref="E154:Y154" si="61">E139*E140*N_service_pct</f>
        <v>1080000</v>
      </c>
      <c r="F154" s="34">
        <f t="shared" si="61"/>
        <v>864000</v>
      </c>
      <c r="G154" s="34">
        <f t="shared" si="61"/>
        <v>1296000</v>
      </c>
      <c r="H154" s="34">
        <f t="shared" si="61"/>
        <v>960000</v>
      </c>
      <c r="I154" s="34">
        <f t="shared" si="61"/>
        <v>1320000</v>
      </c>
      <c r="J154" s="34">
        <f t="shared" si="61"/>
        <v>1080000</v>
      </c>
      <c r="K154" s="34">
        <f t="shared" si="61"/>
        <v>1080000</v>
      </c>
      <c r="L154" s="34">
        <f t="shared" si="61"/>
        <v>0</v>
      </c>
      <c r="M154" s="34">
        <f t="shared" si="61"/>
        <v>0</v>
      </c>
      <c r="N154" s="34">
        <f t="shared" si="61"/>
        <v>0</v>
      </c>
      <c r="O154" s="34">
        <f t="shared" si="61"/>
        <v>0</v>
      </c>
      <c r="P154" s="34">
        <f t="shared" si="61"/>
        <v>0</v>
      </c>
      <c r="Q154" s="34">
        <f t="shared" si="61"/>
        <v>0</v>
      </c>
      <c r="R154" s="34">
        <f t="shared" si="61"/>
        <v>0</v>
      </c>
      <c r="S154" s="34">
        <f t="shared" si="61"/>
        <v>810000</v>
      </c>
      <c r="T154" s="34">
        <f t="shared" si="61"/>
        <v>648000</v>
      </c>
      <c r="U154" s="34">
        <f t="shared" si="61"/>
        <v>972000</v>
      </c>
      <c r="V154" s="34">
        <f t="shared" si="61"/>
        <v>720000</v>
      </c>
      <c r="W154" s="34">
        <f t="shared" si="61"/>
        <v>990000</v>
      </c>
      <c r="X154" s="34">
        <f t="shared" si="61"/>
        <v>810000</v>
      </c>
      <c r="Y154" s="34">
        <f t="shared" si="61"/>
        <v>810000</v>
      </c>
    </row>
    <row r="155" spans="1:25" x14ac:dyDescent="0.2">
      <c r="A155" s="8" t="s">
        <v>620</v>
      </c>
      <c r="B155" s="6" t="s">
        <v>621</v>
      </c>
      <c r="C155" s="6" t="s">
        <v>91</v>
      </c>
      <c r="D155" s="8" t="s">
        <v>622</v>
      </c>
      <c r="E155" s="34">
        <f t="shared" ref="E155:Y155" si="62">E139*E140*N_license_pct</f>
        <v>432000</v>
      </c>
      <c r="F155" s="34">
        <f t="shared" si="62"/>
        <v>345600</v>
      </c>
      <c r="G155" s="34">
        <f t="shared" si="62"/>
        <v>518400</v>
      </c>
      <c r="H155" s="34">
        <f t="shared" si="62"/>
        <v>384000</v>
      </c>
      <c r="I155" s="34">
        <f t="shared" si="62"/>
        <v>528000</v>
      </c>
      <c r="J155" s="34">
        <f t="shared" si="62"/>
        <v>432000</v>
      </c>
      <c r="K155" s="34">
        <f t="shared" si="62"/>
        <v>432000</v>
      </c>
      <c r="L155" s="34">
        <f t="shared" si="62"/>
        <v>0</v>
      </c>
      <c r="M155" s="34">
        <f t="shared" si="62"/>
        <v>0</v>
      </c>
      <c r="N155" s="34">
        <f t="shared" si="62"/>
        <v>0</v>
      </c>
      <c r="O155" s="34">
        <f t="shared" si="62"/>
        <v>0</v>
      </c>
      <c r="P155" s="34">
        <f t="shared" si="62"/>
        <v>0</v>
      </c>
      <c r="Q155" s="34">
        <f t="shared" si="62"/>
        <v>0</v>
      </c>
      <c r="R155" s="34">
        <f t="shared" si="62"/>
        <v>0</v>
      </c>
      <c r="S155" s="34">
        <f t="shared" si="62"/>
        <v>324000</v>
      </c>
      <c r="T155" s="34">
        <f t="shared" si="62"/>
        <v>259200</v>
      </c>
      <c r="U155" s="34">
        <f t="shared" si="62"/>
        <v>388800</v>
      </c>
      <c r="V155" s="34">
        <f t="shared" si="62"/>
        <v>288000</v>
      </c>
      <c r="W155" s="34">
        <f t="shared" si="62"/>
        <v>396000</v>
      </c>
      <c r="X155" s="34">
        <f t="shared" si="62"/>
        <v>324000</v>
      </c>
      <c r="Y155" s="34">
        <f t="shared" si="62"/>
        <v>324000</v>
      </c>
    </row>
    <row r="156" spans="1:25" x14ac:dyDescent="0.2">
      <c r="A156" s="8" t="s">
        <v>623</v>
      </c>
      <c r="B156" s="6" t="s">
        <v>624</v>
      </c>
      <c r="C156" s="6" t="s">
        <v>91</v>
      </c>
      <c r="D156" s="8" t="s">
        <v>625</v>
      </c>
      <c r="E156" s="34">
        <f t="shared" ref="E156:Y156" si="63">E139*E140*N_repair_pct</f>
        <v>648000</v>
      </c>
      <c r="F156" s="34">
        <f t="shared" si="63"/>
        <v>518400</v>
      </c>
      <c r="G156" s="34">
        <f t="shared" si="63"/>
        <v>777600</v>
      </c>
      <c r="H156" s="34">
        <f t="shared" si="63"/>
        <v>576000</v>
      </c>
      <c r="I156" s="34">
        <f t="shared" si="63"/>
        <v>792000</v>
      </c>
      <c r="J156" s="34">
        <f t="shared" si="63"/>
        <v>648000</v>
      </c>
      <c r="K156" s="34">
        <f t="shared" si="63"/>
        <v>648000</v>
      </c>
      <c r="L156" s="34">
        <f t="shared" si="63"/>
        <v>0</v>
      </c>
      <c r="M156" s="34">
        <f t="shared" si="63"/>
        <v>0</v>
      </c>
      <c r="N156" s="34">
        <f t="shared" si="63"/>
        <v>0</v>
      </c>
      <c r="O156" s="34">
        <f t="shared" si="63"/>
        <v>0</v>
      </c>
      <c r="P156" s="34">
        <f t="shared" si="63"/>
        <v>0</v>
      </c>
      <c r="Q156" s="34">
        <f t="shared" si="63"/>
        <v>0</v>
      </c>
      <c r="R156" s="34">
        <f t="shared" si="63"/>
        <v>0</v>
      </c>
      <c r="S156" s="34">
        <f t="shared" si="63"/>
        <v>486000</v>
      </c>
      <c r="T156" s="34">
        <f t="shared" si="63"/>
        <v>388800</v>
      </c>
      <c r="U156" s="34">
        <f t="shared" si="63"/>
        <v>583200</v>
      </c>
      <c r="V156" s="34">
        <f t="shared" si="63"/>
        <v>432000</v>
      </c>
      <c r="W156" s="34">
        <f t="shared" si="63"/>
        <v>594000</v>
      </c>
      <c r="X156" s="34">
        <f t="shared" si="63"/>
        <v>486000</v>
      </c>
      <c r="Y156" s="34">
        <f t="shared" si="63"/>
        <v>486000</v>
      </c>
    </row>
    <row r="157" spans="1:25" x14ac:dyDescent="0.2">
      <c r="A157" s="8" t="s">
        <v>626</v>
      </c>
      <c r="B157" s="6" t="s">
        <v>627</v>
      </c>
      <c r="C157" s="6" t="s">
        <v>91</v>
      </c>
      <c r="D157" s="8" t="s">
        <v>628</v>
      </c>
      <c r="E157" s="34">
        <f t="shared" ref="E157:Y157" si="64">E129*E96*E117*365*N_energy_price</f>
        <v>10512</v>
      </c>
      <c r="F157" s="34">
        <f t="shared" si="64"/>
        <v>10512</v>
      </c>
      <c r="G157" s="34">
        <f t="shared" si="64"/>
        <v>10512</v>
      </c>
      <c r="H157" s="34">
        <f t="shared" si="64"/>
        <v>9344</v>
      </c>
      <c r="I157" s="34">
        <f t="shared" si="64"/>
        <v>12848</v>
      </c>
      <c r="J157" s="34">
        <f t="shared" si="64"/>
        <v>10512</v>
      </c>
      <c r="K157" s="34">
        <f t="shared" si="64"/>
        <v>10512</v>
      </c>
      <c r="L157" s="34">
        <f t="shared" si="64"/>
        <v>10512</v>
      </c>
      <c r="M157" s="34">
        <f t="shared" si="64"/>
        <v>10512</v>
      </c>
      <c r="N157" s="34">
        <f t="shared" si="64"/>
        <v>10512</v>
      </c>
      <c r="O157" s="34">
        <f t="shared" si="64"/>
        <v>9344</v>
      </c>
      <c r="P157" s="34">
        <f t="shared" si="64"/>
        <v>12848</v>
      </c>
      <c r="Q157" s="34">
        <f t="shared" si="64"/>
        <v>10512</v>
      </c>
      <c r="R157" s="34">
        <f t="shared" si="64"/>
        <v>10512</v>
      </c>
      <c r="S157" s="34">
        <f t="shared" si="64"/>
        <v>10512</v>
      </c>
      <c r="T157" s="34">
        <f t="shared" si="64"/>
        <v>10512</v>
      </c>
      <c r="U157" s="34">
        <f t="shared" si="64"/>
        <v>10512</v>
      </c>
      <c r="V157" s="34">
        <f t="shared" si="64"/>
        <v>9344</v>
      </c>
      <c r="W157" s="34">
        <f t="shared" si="64"/>
        <v>12848</v>
      </c>
      <c r="X157" s="34">
        <f t="shared" si="64"/>
        <v>10512</v>
      </c>
      <c r="Y157" s="34">
        <f t="shared" si="64"/>
        <v>10512</v>
      </c>
    </row>
    <row r="158" spans="1:25" x14ac:dyDescent="0.2">
      <c r="A158" s="8" t="s">
        <v>629</v>
      </c>
      <c r="B158" s="6" t="s">
        <v>630</v>
      </c>
      <c r="C158" s="6" t="s">
        <v>91</v>
      </c>
      <c r="D158" s="8" t="s">
        <v>631</v>
      </c>
      <c r="E158" s="34">
        <f t="shared" ref="E158:Y158" si="65">N_connect*IF(E129&gt;0,1,0)</f>
        <v>100</v>
      </c>
      <c r="F158" s="34">
        <f t="shared" si="65"/>
        <v>100</v>
      </c>
      <c r="G158" s="34">
        <f t="shared" si="65"/>
        <v>100</v>
      </c>
      <c r="H158" s="34">
        <f t="shared" si="65"/>
        <v>100</v>
      </c>
      <c r="I158" s="34">
        <f t="shared" si="65"/>
        <v>100</v>
      </c>
      <c r="J158" s="34">
        <f t="shared" si="65"/>
        <v>100</v>
      </c>
      <c r="K158" s="34">
        <f t="shared" si="65"/>
        <v>100</v>
      </c>
      <c r="L158" s="34">
        <f t="shared" si="65"/>
        <v>100</v>
      </c>
      <c r="M158" s="34">
        <f t="shared" si="65"/>
        <v>100</v>
      </c>
      <c r="N158" s="34">
        <f t="shared" si="65"/>
        <v>100</v>
      </c>
      <c r="O158" s="34">
        <f t="shared" si="65"/>
        <v>100</v>
      </c>
      <c r="P158" s="34">
        <f t="shared" si="65"/>
        <v>100</v>
      </c>
      <c r="Q158" s="34">
        <f t="shared" si="65"/>
        <v>100</v>
      </c>
      <c r="R158" s="34">
        <f t="shared" si="65"/>
        <v>100</v>
      </c>
      <c r="S158" s="34">
        <f t="shared" si="65"/>
        <v>100</v>
      </c>
      <c r="T158" s="34">
        <f t="shared" si="65"/>
        <v>100</v>
      </c>
      <c r="U158" s="34">
        <f t="shared" si="65"/>
        <v>100</v>
      </c>
      <c r="V158" s="34">
        <f t="shared" si="65"/>
        <v>100</v>
      </c>
      <c r="W158" s="34">
        <f t="shared" si="65"/>
        <v>100</v>
      </c>
      <c r="X158" s="34">
        <f t="shared" si="65"/>
        <v>100</v>
      </c>
      <c r="Y158" s="34">
        <f t="shared" si="65"/>
        <v>100</v>
      </c>
    </row>
    <row r="159" spans="1:25" x14ac:dyDescent="0.2">
      <c r="A159" s="8" t="s">
        <v>632</v>
      </c>
      <c r="B159" s="6" t="s">
        <v>633</v>
      </c>
      <c r="C159" s="6" t="s">
        <v>91</v>
      </c>
      <c r="D159" s="8" t="s">
        <v>1066</v>
      </c>
      <c r="E159" s="34">
        <f t="shared" ref="E159:Y159" si="66">Med_consum_per_robot*E129</f>
        <v>788400</v>
      </c>
      <c r="F159" s="34">
        <f t="shared" si="66"/>
        <v>788400</v>
      </c>
      <c r="G159" s="34">
        <f t="shared" si="66"/>
        <v>788400</v>
      </c>
      <c r="H159" s="34">
        <f t="shared" si="66"/>
        <v>700800</v>
      </c>
      <c r="I159" s="34">
        <f t="shared" si="66"/>
        <v>963600</v>
      </c>
      <c r="J159" s="34">
        <f t="shared" si="66"/>
        <v>788400</v>
      </c>
      <c r="K159" s="34">
        <f t="shared" si="66"/>
        <v>788400</v>
      </c>
      <c r="L159" s="34">
        <f t="shared" si="66"/>
        <v>788400</v>
      </c>
      <c r="M159" s="34">
        <f t="shared" si="66"/>
        <v>788400</v>
      </c>
      <c r="N159" s="34">
        <f t="shared" si="66"/>
        <v>788400</v>
      </c>
      <c r="O159" s="34">
        <f t="shared" si="66"/>
        <v>700800</v>
      </c>
      <c r="P159" s="34">
        <f t="shared" si="66"/>
        <v>963600</v>
      </c>
      <c r="Q159" s="34">
        <f t="shared" si="66"/>
        <v>788400</v>
      </c>
      <c r="R159" s="34">
        <f t="shared" si="66"/>
        <v>788400</v>
      </c>
      <c r="S159" s="34">
        <f t="shared" si="66"/>
        <v>788400</v>
      </c>
      <c r="T159" s="34">
        <f t="shared" si="66"/>
        <v>788400</v>
      </c>
      <c r="U159" s="34">
        <f t="shared" si="66"/>
        <v>788400</v>
      </c>
      <c r="V159" s="34">
        <f t="shared" si="66"/>
        <v>700800</v>
      </c>
      <c r="W159" s="34">
        <f t="shared" si="66"/>
        <v>963600</v>
      </c>
      <c r="X159" s="34">
        <f t="shared" si="66"/>
        <v>788400</v>
      </c>
      <c r="Y159" s="34">
        <f t="shared" si="66"/>
        <v>788400</v>
      </c>
    </row>
    <row r="160" spans="1:25" ht="28" x14ac:dyDescent="0.2">
      <c r="A160" s="8" t="s">
        <v>635</v>
      </c>
      <c r="B160" s="6" t="s">
        <v>636</v>
      </c>
      <c r="C160" s="6" t="s">
        <v>91</v>
      </c>
      <c r="D160" s="8" t="s">
        <v>1067</v>
      </c>
      <c r="E160" s="34">
        <f t="shared" ref="E160:Y160" si="67">Med_fleet_per_shift*Med_shifts*(1+Med_loss_k)*Med_fleet_sal*12*N_fot*E$83*IF(E129&gt;0,1,0)</f>
        <v>3222450</v>
      </c>
      <c r="F160" s="34">
        <f t="shared" si="67"/>
        <v>3222450</v>
      </c>
      <c r="G160" s="34">
        <f t="shared" si="67"/>
        <v>3222450</v>
      </c>
      <c r="H160" s="34">
        <f t="shared" si="67"/>
        <v>3222450</v>
      </c>
      <c r="I160" s="34">
        <f t="shared" si="67"/>
        <v>3222450</v>
      </c>
      <c r="J160" s="34">
        <f t="shared" si="67"/>
        <v>2577960</v>
      </c>
      <c r="K160" s="34">
        <f t="shared" si="67"/>
        <v>3866940</v>
      </c>
      <c r="L160" s="34">
        <f t="shared" si="67"/>
        <v>3222450</v>
      </c>
      <c r="M160" s="34">
        <f t="shared" si="67"/>
        <v>3222450</v>
      </c>
      <c r="N160" s="34">
        <f t="shared" si="67"/>
        <v>3222450</v>
      </c>
      <c r="O160" s="34">
        <f t="shared" si="67"/>
        <v>3222450</v>
      </c>
      <c r="P160" s="34">
        <f t="shared" si="67"/>
        <v>3222450</v>
      </c>
      <c r="Q160" s="34">
        <f t="shared" si="67"/>
        <v>2577960</v>
      </c>
      <c r="R160" s="34">
        <f t="shared" si="67"/>
        <v>3866940</v>
      </c>
      <c r="S160" s="34">
        <f t="shared" si="67"/>
        <v>3222450</v>
      </c>
      <c r="T160" s="34">
        <f t="shared" si="67"/>
        <v>3222450</v>
      </c>
      <c r="U160" s="34">
        <f t="shared" si="67"/>
        <v>3222450</v>
      </c>
      <c r="V160" s="34">
        <f t="shared" si="67"/>
        <v>3222450</v>
      </c>
      <c r="W160" s="34">
        <f t="shared" si="67"/>
        <v>3222450</v>
      </c>
      <c r="X160" s="34">
        <f t="shared" si="67"/>
        <v>2577960</v>
      </c>
      <c r="Y160" s="34">
        <f t="shared" si="67"/>
        <v>3866940</v>
      </c>
    </row>
    <row r="161" spans="1:25" ht="28" x14ac:dyDescent="0.2">
      <c r="A161" s="8" t="s">
        <v>638</v>
      </c>
      <c r="B161" s="6" t="s">
        <v>639</v>
      </c>
      <c r="C161" s="6" t="s">
        <v>91</v>
      </c>
      <c r="D161" s="8" t="s">
        <v>640</v>
      </c>
      <c r="E161" s="34">
        <f t="shared" ref="E161:Y161" si="68">E139*E150*N_loan_share*N_loan_rate*(N_loan_years+1)/(2*N_loan_years)</f>
        <v>0</v>
      </c>
      <c r="F161" s="34">
        <f t="shared" si="68"/>
        <v>0</v>
      </c>
      <c r="G161" s="34">
        <f t="shared" si="68"/>
        <v>0</v>
      </c>
      <c r="H161" s="34">
        <f t="shared" si="68"/>
        <v>0</v>
      </c>
      <c r="I161" s="34">
        <f t="shared" si="68"/>
        <v>0</v>
      </c>
      <c r="J161" s="34">
        <f t="shared" si="68"/>
        <v>0</v>
      </c>
      <c r="K161" s="34">
        <f t="shared" si="68"/>
        <v>0</v>
      </c>
      <c r="L161" s="34">
        <f t="shared" si="68"/>
        <v>0</v>
      </c>
      <c r="M161" s="34">
        <f t="shared" si="68"/>
        <v>0</v>
      </c>
      <c r="N161" s="34">
        <f t="shared" si="68"/>
        <v>0</v>
      </c>
      <c r="O161" s="34">
        <f t="shared" si="68"/>
        <v>0</v>
      </c>
      <c r="P161" s="34">
        <f t="shared" si="68"/>
        <v>0</v>
      </c>
      <c r="Q161" s="34">
        <f t="shared" si="68"/>
        <v>0</v>
      </c>
      <c r="R161" s="34">
        <f t="shared" si="68"/>
        <v>0</v>
      </c>
      <c r="S161" s="34">
        <f t="shared" si="68"/>
        <v>0</v>
      </c>
      <c r="T161" s="34">
        <f t="shared" si="68"/>
        <v>0</v>
      </c>
      <c r="U161" s="34">
        <f t="shared" si="68"/>
        <v>0</v>
      </c>
      <c r="V161" s="34">
        <f t="shared" si="68"/>
        <v>0</v>
      </c>
      <c r="W161" s="34">
        <f t="shared" si="68"/>
        <v>0</v>
      </c>
      <c r="X161" s="34">
        <f t="shared" si="68"/>
        <v>0</v>
      </c>
      <c r="Y161" s="34">
        <f t="shared" si="68"/>
        <v>0</v>
      </c>
    </row>
    <row r="162" spans="1:25" ht="39" x14ac:dyDescent="0.2">
      <c r="A162" s="8" t="s">
        <v>641</v>
      </c>
      <c r="B162" s="37" t="s">
        <v>642</v>
      </c>
      <c r="C162" s="6" t="s">
        <v>91</v>
      </c>
      <c r="D162" s="8" t="s">
        <v>643</v>
      </c>
      <c r="E162" s="41">
        <f t="shared" ref="E162:Y162" si="69">E153+E154+E155+E156+E157+E158+E159+E160+E161</f>
        <v>6181462</v>
      </c>
      <c r="F162" s="41">
        <f t="shared" si="69"/>
        <v>5749462</v>
      </c>
      <c r="G162" s="41">
        <f t="shared" si="69"/>
        <v>6613462</v>
      </c>
      <c r="H162" s="41">
        <f t="shared" si="69"/>
        <v>5852694</v>
      </c>
      <c r="I162" s="41">
        <f t="shared" si="69"/>
        <v>6838998</v>
      </c>
      <c r="J162" s="41">
        <f t="shared" si="69"/>
        <v>5536972</v>
      </c>
      <c r="K162" s="41">
        <f t="shared" si="69"/>
        <v>6825952</v>
      </c>
      <c r="L162" s="41">
        <f t="shared" si="69"/>
        <v>9205462</v>
      </c>
      <c r="M162" s="41">
        <f t="shared" si="69"/>
        <v>8168662</v>
      </c>
      <c r="N162" s="41">
        <f t="shared" si="69"/>
        <v>10242262</v>
      </c>
      <c r="O162" s="41">
        <f t="shared" si="69"/>
        <v>8540694</v>
      </c>
      <c r="P162" s="41">
        <f t="shared" si="69"/>
        <v>10534998</v>
      </c>
      <c r="Q162" s="41">
        <f t="shared" si="69"/>
        <v>8560972</v>
      </c>
      <c r="R162" s="41">
        <f t="shared" si="69"/>
        <v>9849952</v>
      </c>
      <c r="S162" s="41">
        <f t="shared" si="69"/>
        <v>5641462</v>
      </c>
      <c r="T162" s="41">
        <f t="shared" si="69"/>
        <v>5317462</v>
      </c>
      <c r="U162" s="41">
        <f t="shared" si="69"/>
        <v>5965462</v>
      </c>
      <c r="V162" s="41">
        <f t="shared" si="69"/>
        <v>5372694</v>
      </c>
      <c r="W162" s="41">
        <f t="shared" si="69"/>
        <v>6178998</v>
      </c>
      <c r="X162" s="41">
        <f t="shared" si="69"/>
        <v>4996972</v>
      </c>
      <c r="Y162" s="41">
        <f t="shared" si="69"/>
        <v>6285952</v>
      </c>
    </row>
    <row r="163" spans="1:25" x14ac:dyDescent="0.2">
      <c r="A163" s="26"/>
      <c r="B163" s="27" t="s">
        <v>644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28" x14ac:dyDescent="0.2">
      <c r="A164" s="8" t="s">
        <v>645</v>
      </c>
      <c r="B164" s="37" t="s">
        <v>646</v>
      </c>
      <c r="C164" s="6" t="s">
        <v>374</v>
      </c>
      <c r="D164" s="8" t="s">
        <v>1068</v>
      </c>
      <c r="E164" s="42">
        <f t="shared" ref="E164:Y164" si="70">Med_fte_target*E100*E111*E$82</f>
        <v>35.927999999999997</v>
      </c>
      <c r="F164" s="42">
        <f t="shared" si="70"/>
        <v>35.927999999999997</v>
      </c>
      <c r="G164" s="42">
        <f t="shared" si="70"/>
        <v>35.927999999999997</v>
      </c>
      <c r="H164" s="42">
        <f t="shared" si="70"/>
        <v>28.7424</v>
      </c>
      <c r="I164" s="42">
        <f t="shared" si="70"/>
        <v>43.113599999999998</v>
      </c>
      <c r="J164" s="42">
        <f t="shared" si="70"/>
        <v>35.927999999999997</v>
      </c>
      <c r="K164" s="42">
        <f t="shared" si="70"/>
        <v>35.927999999999997</v>
      </c>
      <c r="L164" s="42">
        <f t="shared" si="70"/>
        <v>35.927999999999997</v>
      </c>
      <c r="M164" s="42">
        <f t="shared" si="70"/>
        <v>35.927999999999997</v>
      </c>
      <c r="N164" s="42">
        <f t="shared" si="70"/>
        <v>35.927999999999997</v>
      </c>
      <c r="O164" s="42">
        <f t="shared" si="70"/>
        <v>28.7424</v>
      </c>
      <c r="P164" s="42">
        <f t="shared" si="70"/>
        <v>43.113599999999998</v>
      </c>
      <c r="Q164" s="42">
        <f t="shared" si="70"/>
        <v>35.927999999999997</v>
      </c>
      <c r="R164" s="42">
        <f t="shared" si="70"/>
        <v>35.927999999999997</v>
      </c>
      <c r="S164" s="42">
        <f t="shared" si="70"/>
        <v>35.927999999999997</v>
      </c>
      <c r="T164" s="42">
        <f t="shared" si="70"/>
        <v>35.927999999999997</v>
      </c>
      <c r="U164" s="42">
        <f t="shared" si="70"/>
        <v>35.927999999999997</v>
      </c>
      <c r="V164" s="42">
        <f t="shared" si="70"/>
        <v>28.7424</v>
      </c>
      <c r="W164" s="42">
        <f t="shared" si="70"/>
        <v>43.113599999999998</v>
      </c>
      <c r="X164" s="42">
        <f t="shared" si="70"/>
        <v>35.927999999999997</v>
      </c>
      <c r="Y164" s="42">
        <f t="shared" si="70"/>
        <v>35.927999999999997</v>
      </c>
    </row>
    <row r="165" spans="1:25" ht="28" x14ac:dyDescent="0.2">
      <c r="A165" s="8" t="s">
        <v>648</v>
      </c>
      <c r="B165" s="6" t="s">
        <v>649</v>
      </c>
      <c r="C165" s="6" t="s">
        <v>91</v>
      </c>
      <c r="D165" s="8" t="s">
        <v>1069</v>
      </c>
      <c r="E165" s="34">
        <f t="shared" ref="E165:Y165" si="71">Med_labor_target*E100*E$83*E$82*E111</f>
        <v>30590167.104000002</v>
      </c>
      <c r="F165" s="34">
        <f t="shared" si="71"/>
        <v>30590167.104000002</v>
      </c>
      <c r="G165" s="34">
        <f t="shared" si="71"/>
        <v>30590167.104000002</v>
      </c>
      <c r="H165" s="34">
        <f t="shared" si="71"/>
        <v>24472133.683200002</v>
      </c>
      <c r="I165" s="34">
        <f t="shared" si="71"/>
        <v>36708200.524800003</v>
      </c>
      <c r="J165" s="34">
        <f t="shared" si="71"/>
        <v>24472133.683200002</v>
      </c>
      <c r="K165" s="34">
        <f t="shared" si="71"/>
        <v>36708200.524800003</v>
      </c>
      <c r="L165" s="34">
        <f t="shared" si="71"/>
        <v>30590167.104000002</v>
      </c>
      <c r="M165" s="34">
        <f t="shared" si="71"/>
        <v>30590167.104000002</v>
      </c>
      <c r="N165" s="34">
        <f t="shared" si="71"/>
        <v>30590167.104000002</v>
      </c>
      <c r="O165" s="34">
        <f t="shared" si="71"/>
        <v>24472133.683200002</v>
      </c>
      <c r="P165" s="34">
        <f t="shared" si="71"/>
        <v>36708200.524800003</v>
      </c>
      <c r="Q165" s="34">
        <f t="shared" si="71"/>
        <v>24472133.683200002</v>
      </c>
      <c r="R165" s="34">
        <f t="shared" si="71"/>
        <v>36708200.524800003</v>
      </c>
      <c r="S165" s="34">
        <f t="shared" si="71"/>
        <v>30590167.104000002</v>
      </c>
      <c r="T165" s="34">
        <f t="shared" si="71"/>
        <v>30590167.104000002</v>
      </c>
      <c r="U165" s="34">
        <f t="shared" si="71"/>
        <v>30590167.104000002</v>
      </c>
      <c r="V165" s="34">
        <f t="shared" si="71"/>
        <v>24472133.683200002</v>
      </c>
      <c r="W165" s="34">
        <f t="shared" si="71"/>
        <v>36708200.524800003</v>
      </c>
      <c r="X165" s="34">
        <f t="shared" si="71"/>
        <v>24472133.683200002</v>
      </c>
      <c r="Y165" s="34">
        <f t="shared" si="71"/>
        <v>36708200.524800003</v>
      </c>
    </row>
    <row r="166" spans="1:25" x14ac:dyDescent="0.2">
      <c r="A166" s="8" t="s">
        <v>651</v>
      </c>
      <c r="B166" s="6" t="s">
        <v>652</v>
      </c>
      <c r="C166" s="6" t="s">
        <v>91</v>
      </c>
      <c r="D166" s="8" t="s">
        <v>653</v>
      </c>
      <c r="E166" s="34">
        <f t="shared" ref="E166:Y166" si="72">E136-E165</f>
        <v>11896176.096000001</v>
      </c>
      <c r="F166" s="34">
        <f t="shared" si="72"/>
        <v>11896176.096000001</v>
      </c>
      <c r="G166" s="34">
        <f t="shared" si="72"/>
        <v>11896176.096000001</v>
      </c>
      <c r="H166" s="34">
        <f t="shared" si="72"/>
        <v>9516940.8768000007</v>
      </c>
      <c r="I166" s="34">
        <f t="shared" si="72"/>
        <v>14275411.315200001</v>
      </c>
      <c r="J166" s="34">
        <f t="shared" si="72"/>
        <v>9516940.8768000007</v>
      </c>
      <c r="K166" s="34">
        <f t="shared" si="72"/>
        <v>14275411.315200001</v>
      </c>
      <c r="L166" s="34">
        <f t="shared" si="72"/>
        <v>11896176.096000001</v>
      </c>
      <c r="M166" s="34">
        <f t="shared" si="72"/>
        <v>11896176.096000001</v>
      </c>
      <c r="N166" s="34">
        <f t="shared" si="72"/>
        <v>11896176.096000001</v>
      </c>
      <c r="O166" s="34">
        <f t="shared" si="72"/>
        <v>9516940.8768000007</v>
      </c>
      <c r="P166" s="34">
        <f t="shared" si="72"/>
        <v>14275411.315200001</v>
      </c>
      <c r="Q166" s="34">
        <f t="shared" si="72"/>
        <v>9516940.8768000007</v>
      </c>
      <c r="R166" s="34">
        <f t="shared" si="72"/>
        <v>14275411.315200001</v>
      </c>
      <c r="S166" s="34">
        <f t="shared" si="72"/>
        <v>11896176.096000001</v>
      </c>
      <c r="T166" s="34">
        <f t="shared" si="72"/>
        <v>11896176.096000001</v>
      </c>
      <c r="U166" s="34">
        <f t="shared" si="72"/>
        <v>11896176.096000001</v>
      </c>
      <c r="V166" s="34">
        <f t="shared" si="72"/>
        <v>9516940.8768000007</v>
      </c>
      <c r="W166" s="34">
        <f t="shared" si="72"/>
        <v>14275411.315200001</v>
      </c>
      <c r="X166" s="34">
        <f t="shared" si="72"/>
        <v>9516940.8768000007</v>
      </c>
      <c r="Y166" s="34">
        <f t="shared" si="72"/>
        <v>14275411.315200001</v>
      </c>
    </row>
    <row r="167" spans="1:25" ht="28" x14ac:dyDescent="0.2">
      <c r="A167" s="8" t="s">
        <v>654</v>
      </c>
      <c r="B167" s="37" t="s">
        <v>655</v>
      </c>
      <c r="C167" s="6" t="s">
        <v>91</v>
      </c>
      <c r="D167" s="8" t="s">
        <v>656</v>
      </c>
      <c r="E167" s="41">
        <f t="shared" ref="E167:Y167" si="73">E166+E162</f>
        <v>18077638.096000001</v>
      </c>
      <c r="F167" s="41">
        <f t="shared" si="73"/>
        <v>17645638.096000001</v>
      </c>
      <c r="G167" s="41">
        <f t="shared" si="73"/>
        <v>18509638.096000001</v>
      </c>
      <c r="H167" s="41">
        <f t="shared" si="73"/>
        <v>15369634.876800001</v>
      </c>
      <c r="I167" s="41">
        <f t="shared" si="73"/>
        <v>21114409.315200001</v>
      </c>
      <c r="J167" s="41">
        <f t="shared" si="73"/>
        <v>15053912.876800001</v>
      </c>
      <c r="K167" s="41">
        <f t="shared" si="73"/>
        <v>21101363.315200001</v>
      </c>
      <c r="L167" s="41">
        <f t="shared" si="73"/>
        <v>21101638.096000001</v>
      </c>
      <c r="M167" s="41">
        <f t="shared" si="73"/>
        <v>20064838.096000001</v>
      </c>
      <c r="N167" s="41">
        <f t="shared" si="73"/>
        <v>22138438.096000001</v>
      </c>
      <c r="O167" s="41">
        <f t="shared" si="73"/>
        <v>18057634.876800001</v>
      </c>
      <c r="P167" s="41">
        <f t="shared" si="73"/>
        <v>24810409.315200001</v>
      </c>
      <c r="Q167" s="41">
        <f t="shared" si="73"/>
        <v>18077912.876800001</v>
      </c>
      <c r="R167" s="41">
        <f t="shared" si="73"/>
        <v>24125363.315200001</v>
      </c>
      <c r="S167" s="41">
        <f t="shared" si="73"/>
        <v>17537638.096000001</v>
      </c>
      <c r="T167" s="41">
        <f t="shared" si="73"/>
        <v>17213638.096000001</v>
      </c>
      <c r="U167" s="41">
        <f t="shared" si="73"/>
        <v>17861638.096000001</v>
      </c>
      <c r="V167" s="41">
        <f t="shared" si="73"/>
        <v>14889634.876800001</v>
      </c>
      <c r="W167" s="41">
        <f t="shared" si="73"/>
        <v>20454409.315200001</v>
      </c>
      <c r="X167" s="41">
        <f t="shared" si="73"/>
        <v>14513912.876800001</v>
      </c>
      <c r="Y167" s="41">
        <f t="shared" si="73"/>
        <v>20561363.315200001</v>
      </c>
    </row>
    <row r="168" spans="1:25" ht="28" x14ac:dyDescent="0.2">
      <c r="A168" s="8" t="s">
        <v>657</v>
      </c>
      <c r="B168" s="37" t="s">
        <v>658</v>
      </c>
      <c r="C168" s="6" t="s">
        <v>91</v>
      </c>
      <c r="D168" s="8" t="s">
        <v>659</v>
      </c>
      <c r="E168" s="41">
        <f t="shared" ref="E168:Y168" si="74">E167-E137</f>
        <v>-24408705.104000002</v>
      </c>
      <c r="F168" s="41">
        <f t="shared" si="74"/>
        <v>-24840705.104000002</v>
      </c>
      <c r="G168" s="41">
        <f t="shared" si="74"/>
        <v>-23976705.104000002</v>
      </c>
      <c r="H168" s="41">
        <f t="shared" si="74"/>
        <v>-18619439.683200002</v>
      </c>
      <c r="I168" s="41">
        <f t="shared" si="74"/>
        <v>-29869202.524800003</v>
      </c>
      <c r="J168" s="41">
        <f t="shared" si="74"/>
        <v>-18935161.683200002</v>
      </c>
      <c r="K168" s="41">
        <f t="shared" si="74"/>
        <v>-29882248.524800003</v>
      </c>
      <c r="L168" s="41">
        <f t="shared" si="74"/>
        <v>-21384705.104000002</v>
      </c>
      <c r="M168" s="41">
        <f t="shared" si="74"/>
        <v>-22421505.104000002</v>
      </c>
      <c r="N168" s="41">
        <f t="shared" si="74"/>
        <v>-20347905.104000002</v>
      </c>
      <c r="O168" s="41">
        <f t="shared" si="74"/>
        <v>-15931439.683200002</v>
      </c>
      <c r="P168" s="41">
        <f t="shared" si="74"/>
        <v>-26173202.524800003</v>
      </c>
      <c r="Q168" s="41">
        <f t="shared" si="74"/>
        <v>-15911161.683200002</v>
      </c>
      <c r="R168" s="41">
        <f t="shared" si="74"/>
        <v>-26858248.524800003</v>
      </c>
      <c r="S168" s="41">
        <f t="shared" si="74"/>
        <v>-24948705.104000002</v>
      </c>
      <c r="T168" s="41">
        <f t="shared" si="74"/>
        <v>-25272705.104000002</v>
      </c>
      <c r="U168" s="41">
        <f t="shared" si="74"/>
        <v>-24624705.104000002</v>
      </c>
      <c r="V168" s="41">
        <f t="shared" si="74"/>
        <v>-19099439.683200002</v>
      </c>
      <c r="W168" s="41">
        <f t="shared" si="74"/>
        <v>-30529202.524800003</v>
      </c>
      <c r="X168" s="41">
        <f t="shared" si="74"/>
        <v>-19475161.683200002</v>
      </c>
      <c r="Y168" s="41">
        <f t="shared" si="74"/>
        <v>-30422248.524800003</v>
      </c>
    </row>
    <row r="169" spans="1:25" ht="28" x14ac:dyDescent="0.2">
      <c r="A169" s="8" t="s">
        <v>660</v>
      </c>
      <c r="B169" s="6" t="s">
        <v>661</v>
      </c>
      <c r="C169" s="6" t="s">
        <v>91</v>
      </c>
      <c r="D169" s="8" t="s">
        <v>1070</v>
      </c>
      <c r="E169" s="34">
        <f t="shared" ref="E169:Y169" si="75">E164*Med_turnover*N_hire_cost*Med_sal_target*E$83</f>
        <v>889218</v>
      </c>
      <c r="F169" s="34">
        <f t="shared" si="75"/>
        <v>889218</v>
      </c>
      <c r="G169" s="34">
        <f t="shared" si="75"/>
        <v>889218</v>
      </c>
      <c r="H169" s="34">
        <f t="shared" si="75"/>
        <v>711374.4</v>
      </c>
      <c r="I169" s="34">
        <f t="shared" si="75"/>
        <v>1067061.5999999999</v>
      </c>
      <c r="J169" s="34">
        <f t="shared" si="75"/>
        <v>711374.4</v>
      </c>
      <c r="K169" s="34">
        <f t="shared" si="75"/>
        <v>1067061.5999999999</v>
      </c>
      <c r="L169" s="34">
        <f t="shared" si="75"/>
        <v>889218</v>
      </c>
      <c r="M169" s="34">
        <f t="shared" si="75"/>
        <v>889218</v>
      </c>
      <c r="N169" s="34">
        <f t="shared" si="75"/>
        <v>889218</v>
      </c>
      <c r="O169" s="34">
        <f t="shared" si="75"/>
        <v>711374.4</v>
      </c>
      <c r="P169" s="34">
        <f t="shared" si="75"/>
        <v>1067061.5999999999</v>
      </c>
      <c r="Q169" s="34">
        <f t="shared" si="75"/>
        <v>711374.4</v>
      </c>
      <c r="R169" s="34">
        <f t="shared" si="75"/>
        <v>1067061.5999999999</v>
      </c>
      <c r="S169" s="34">
        <f t="shared" si="75"/>
        <v>889218</v>
      </c>
      <c r="T169" s="34">
        <f t="shared" si="75"/>
        <v>889218</v>
      </c>
      <c r="U169" s="34">
        <f t="shared" si="75"/>
        <v>889218</v>
      </c>
      <c r="V169" s="34">
        <f t="shared" si="75"/>
        <v>711374.4</v>
      </c>
      <c r="W169" s="34">
        <f t="shared" si="75"/>
        <v>1067061.5999999999</v>
      </c>
      <c r="X169" s="34">
        <f t="shared" si="75"/>
        <v>711374.4</v>
      </c>
      <c r="Y169" s="34">
        <f t="shared" si="75"/>
        <v>1067061.5999999999</v>
      </c>
    </row>
    <row r="170" spans="1:25" ht="28" x14ac:dyDescent="0.2">
      <c r="A170" s="8" t="s">
        <v>663</v>
      </c>
      <c r="B170" s="6" t="s">
        <v>664</v>
      </c>
      <c r="C170" s="6" t="s">
        <v>91</v>
      </c>
      <c r="D170" s="8" t="s">
        <v>1071</v>
      </c>
      <c r="E170" s="34">
        <f t="shared" ref="E170:Y170" si="76">Med_other_effects*E111</f>
        <v>0</v>
      </c>
      <c r="F170" s="34">
        <f t="shared" si="76"/>
        <v>0</v>
      </c>
      <c r="G170" s="34">
        <f t="shared" si="76"/>
        <v>0</v>
      </c>
      <c r="H170" s="34">
        <f t="shared" si="76"/>
        <v>0</v>
      </c>
      <c r="I170" s="34">
        <f t="shared" si="76"/>
        <v>0</v>
      </c>
      <c r="J170" s="34">
        <f t="shared" si="76"/>
        <v>0</v>
      </c>
      <c r="K170" s="34">
        <f t="shared" si="76"/>
        <v>0</v>
      </c>
      <c r="L170" s="34">
        <f t="shared" si="76"/>
        <v>0</v>
      </c>
      <c r="M170" s="34">
        <f t="shared" si="76"/>
        <v>0</v>
      </c>
      <c r="N170" s="34">
        <f t="shared" si="76"/>
        <v>0</v>
      </c>
      <c r="O170" s="34">
        <f t="shared" si="76"/>
        <v>0</v>
      </c>
      <c r="P170" s="34">
        <f t="shared" si="76"/>
        <v>0</v>
      </c>
      <c r="Q170" s="34">
        <f t="shared" si="76"/>
        <v>0</v>
      </c>
      <c r="R170" s="34">
        <f t="shared" si="76"/>
        <v>0</v>
      </c>
      <c r="S170" s="34">
        <f t="shared" si="76"/>
        <v>0</v>
      </c>
      <c r="T170" s="34">
        <f t="shared" si="76"/>
        <v>0</v>
      </c>
      <c r="U170" s="34">
        <f t="shared" si="76"/>
        <v>0</v>
      </c>
      <c r="V170" s="34">
        <f t="shared" si="76"/>
        <v>0</v>
      </c>
      <c r="W170" s="34">
        <f t="shared" si="76"/>
        <v>0</v>
      </c>
      <c r="X170" s="34">
        <f t="shared" si="76"/>
        <v>0</v>
      </c>
      <c r="Y170" s="34">
        <f t="shared" si="76"/>
        <v>0</v>
      </c>
    </row>
    <row r="171" spans="1:25" ht="28" x14ac:dyDescent="0.2">
      <c r="A171" s="8" t="s">
        <v>666</v>
      </c>
      <c r="B171" s="37" t="s">
        <v>667</v>
      </c>
      <c r="C171" s="6" t="s">
        <v>91</v>
      </c>
      <c r="D171" s="8" t="s">
        <v>668</v>
      </c>
      <c r="E171" s="41">
        <f t="shared" ref="E171:Y171" si="77">E137-E167+E169+E170</f>
        <v>25297923.104000002</v>
      </c>
      <c r="F171" s="41">
        <f t="shared" si="77"/>
        <v>25729923.104000002</v>
      </c>
      <c r="G171" s="41">
        <f t="shared" si="77"/>
        <v>24865923.104000002</v>
      </c>
      <c r="H171" s="41">
        <f t="shared" si="77"/>
        <v>19330814.0832</v>
      </c>
      <c r="I171" s="41">
        <f t="shared" si="77"/>
        <v>30936264.124800004</v>
      </c>
      <c r="J171" s="41">
        <f t="shared" si="77"/>
        <v>19646536.0832</v>
      </c>
      <c r="K171" s="41">
        <f t="shared" si="77"/>
        <v>30949310.124800004</v>
      </c>
      <c r="L171" s="41">
        <f t="shared" si="77"/>
        <v>22273923.104000002</v>
      </c>
      <c r="M171" s="41">
        <f t="shared" si="77"/>
        <v>23310723.104000002</v>
      </c>
      <c r="N171" s="41">
        <f t="shared" si="77"/>
        <v>21237123.104000002</v>
      </c>
      <c r="O171" s="41">
        <f t="shared" si="77"/>
        <v>16642814.083200002</v>
      </c>
      <c r="P171" s="41">
        <f t="shared" si="77"/>
        <v>27240264.124800004</v>
      </c>
      <c r="Q171" s="41">
        <f t="shared" si="77"/>
        <v>16622536.083200002</v>
      </c>
      <c r="R171" s="41">
        <f t="shared" si="77"/>
        <v>27925310.124800004</v>
      </c>
      <c r="S171" s="41">
        <f t="shared" si="77"/>
        <v>25837923.104000002</v>
      </c>
      <c r="T171" s="41">
        <f t="shared" si="77"/>
        <v>26161923.104000002</v>
      </c>
      <c r="U171" s="41">
        <f t="shared" si="77"/>
        <v>25513923.104000002</v>
      </c>
      <c r="V171" s="41">
        <f t="shared" si="77"/>
        <v>19810814.0832</v>
      </c>
      <c r="W171" s="41">
        <f t="shared" si="77"/>
        <v>31596264.124800004</v>
      </c>
      <c r="X171" s="41">
        <f t="shared" si="77"/>
        <v>20186536.0832</v>
      </c>
      <c r="Y171" s="41">
        <f t="shared" si="77"/>
        <v>31489310.124800004</v>
      </c>
    </row>
    <row r="172" spans="1:25" x14ac:dyDescent="0.2">
      <c r="A172" s="8" t="s">
        <v>669</v>
      </c>
      <c r="B172" s="6" t="s">
        <v>670</v>
      </c>
      <c r="C172" s="6" t="s">
        <v>91</v>
      </c>
      <c r="D172" s="8" t="s">
        <v>671</v>
      </c>
      <c r="E172" s="34">
        <f t="shared" ref="E172:Y172" si="78">E150/N_life*E139</f>
        <v>3602005</v>
      </c>
      <c r="F172" s="34">
        <f t="shared" si="78"/>
        <v>2936725</v>
      </c>
      <c r="G172" s="34">
        <f t="shared" si="78"/>
        <v>4267285</v>
      </c>
      <c r="H172" s="34">
        <f t="shared" si="78"/>
        <v>3232295</v>
      </c>
      <c r="I172" s="34">
        <f t="shared" si="78"/>
        <v>4341315</v>
      </c>
      <c r="J172" s="34">
        <f t="shared" si="78"/>
        <v>3602005</v>
      </c>
      <c r="K172" s="34">
        <f t="shared" si="78"/>
        <v>3602005</v>
      </c>
      <c r="L172" s="34">
        <f t="shared" si="78"/>
        <v>0</v>
      </c>
      <c r="M172" s="34">
        <f t="shared" si="78"/>
        <v>0</v>
      </c>
      <c r="N172" s="34">
        <f t="shared" si="78"/>
        <v>0</v>
      </c>
      <c r="O172" s="34">
        <f t="shared" si="78"/>
        <v>0</v>
      </c>
      <c r="P172" s="34">
        <f t="shared" si="78"/>
        <v>0</v>
      </c>
      <c r="Q172" s="34">
        <f t="shared" si="78"/>
        <v>0</v>
      </c>
      <c r="R172" s="34">
        <f t="shared" si="78"/>
        <v>0</v>
      </c>
      <c r="S172" s="34">
        <f t="shared" si="78"/>
        <v>2770405</v>
      </c>
      <c r="T172" s="34">
        <f t="shared" si="78"/>
        <v>2271445</v>
      </c>
      <c r="U172" s="34">
        <f t="shared" si="78"/>
        <v>3269365</v>
      </c>
      <c r="V172" s="34">
        <f t="shared" si="78"/>
        <v>2493095</v>
      </c>
      <c r="W172" s="34">
        <f t="shared" si="78"/>
        <v>3324915</v>
      </c>
      <c r="X172" s="34">
        <f t="shared" si="78"/>
        <v>2770405</v>
      </c>
      <c r="Y172" s="34">
        <f t="shared" si="78"/>
        <v>2770405</v>
      </c>
    </row>
    <row r="173" spans="1:25" x14ac:dyDescent="0.2">
      <c r="A173" s="8" t="s">
        <v>672</v>
      </c>
      <c r="B173" s="37" t="s">
        <v>673</v>
      </c>
      <c r="C173" s="6" t="s">
        <v>91</v>
      </c>
      <c r="D173" s="8" t="s">
        <v>674</v>
      </c>
      <c r="E173" s="41">
        <f t="shared" ref="E173:Y173" si="79">E171-E172</f>
        <v>21695918.104000002</v>
      </c>
      <c r="F173" s="41">
        <f t="shared" si="79"/>
        <v>22793198.104000002</v>
      </c>
      <c r="G173" s="41">
        <f t="shared" si="79"/>
        <v>20598638.104000002</v>
      </c>
      <c r="H173" s="41">
        <f t="shared" si="79"/>
        <v>16098519.0832</v>
      </c>
      <c r="I173" s="41">
        <f t="shared" si="79"/>
        <v>26594949.124800004</v>
      </c>
      <c r="J173" s="41">
        <f t="shared" si="79"/>
        <v>16044531.0832</v>
      </c>
      <c r="K173" s="41">
        <f t="shared" si="79"/>
        <v>27347305.124800004</v>
      </c>
      <c r="L173" s="41">
        <f t="shared" si="79"/>
        <v>22273923.104000002</v>
      </c>
      <c r="M173" s="41">
        <f t="shared" si="79"/>
        <v>23310723.104000002</v>
      </c>
      <c r="N173" s="41">
        <f t="shared" si="79"/>
        <v>21237123.104000002</v>
      </c>
      <c r="O173" s="41">
        <f t="shared" si="79"/>
        <v>16642814.083200002</v>
      </c>
      <c r="P173" s="41">
        <f t="shared" si="79"/>
        <v>27240264.124800004</v>
      </c>
      <c r="Q173" s="41">
        <f t="shared" si="79"/>
        <v>16622536.083200002</v>
      </c>
      <c r="R173" s="41">
        <f t="shared" si="79"/>
        <v>27925310.124800004</v>
      </c>
      <c r="S173" s="41">
        <f t="shared" si="79"/>
        <v>23067518.104000002</v>
      </c>
      <c r="T173" s="41">
        <f t="shared" si="79"/>
        <v>23890478.104000002</v>
      </c>
      <c r="U173" s="41">
        <f t="shared" si="79"/>
        <v>22244558.104000002</v>
      </c>
      <c r="V173" s="41">
        <f t="shared" si="79"/>
        <v>17317719.0832</v>
      </c>
      <c r="W173" s="41">
        <f t="shared" si="79"/>
        <v>28271349.124800004</v>
      </c>
      <c r="X173" s="41">
        <f t="shared" si="79"/>
        <v>17416131.0832</v>
      </c>
      <c r="Y173" s="41">
        <f t="shared" si="79"/>
        <v>28718905.124800004</v>
      </c>
    </row>
    <row r="174" spans="1:25" ht="26" x14ac:dyDescent="0.2">
      <c r="A174" s="8" t="s">
        <v>675</v>
      </c>
      <c r="B174" s="37" t="s">
        <v>676</v>
      </c>
      <c r="C174" s="6" t="s">
        <v>85</v>
      </c>
      <c r="D174" s="8" t="s">
        <v>677</v>
      </c>
      <c r="E174" s="42">
        <f t="shared" ref="E174:Y174" si="80">IF(AND(E111=1,E171&gt;0),E150/E171,"не окупается")</f>
        <v>1.4238342749292594</v>
      </c>
      <c r="F174" s="42">
        <f t="shared" si="80"/>
        <v>1.1413656341411504</v>
      </c>
      <c r="G174" s="42">
        <f t="shared" si="80"/>
        <v>1.716117669210339</v>
      </c>
      <c r="H174" s="42">
        <f t="shared" si="80"/>
        <v>1.6720946081671331</v>
      </c>
      <c r="I174" s="42">
        <f t="shared" si="80"/>
        <v>1.4033093920089053</v>
      </c>
      <c r="J174" s="42">
        <f t="shared" si="80"/>
        <v>1.8334046188834885</v>
      </c>
      <c r="K174" s="42">
        <f t="shared" si="80"/>
        <v>1.1638401584640414</v>
      </c>
      <c r="L174" s="42">
        <f t="shared" si="80"/>
        <v>0.39016701096715789</v>
      </c>
      <c r="M174" s="42">
        <f t="shared" si="80"/>
        <v>0.32184973269716377</v>
      </c>
      <c r="N174" s="42">
        <f t="shared" si="80"/>
        <v>0.46515481177106233</v>
      </c>
      <c r="O174" s="42">
        <f t="shared" si="80"/>
        <v>0.48252356601798457</v>
      </c>
      <c r="P174" s="42">
        <f t="shared" si="80"/>
        <v>0.3674909301223046</v>
      </c>
      <c r="Q174" s="42">
        <f t="shared" si="80"/>
        <v>0.52281733403985986</v>
      </c>
      <c r="R174" s="42">
        <f t="shared" si="80"/>
        <v>0.31120692880979206</v>
      </c>
      <c r="S174" s="42">
        <f t="shared" si="80"/>
        <v>1.0722243381748862</v>
      </c>
      <c r="T174" s="42">
        <f t="shared" si="80"/>
        <v>0.8682255470939404</v>
      </c>
      <c r="U174" s="42">
        <f t="shared" si="80"/>
        <v>1.2814042696113002</v>
      </c>
      <c r="V174" s="42">
        <f t="shared" si="80"/>
        <v>1.258451565659888</v>
      </c>
      <c r="W174" s="42">
        <f t="shared" si="80"/>
        <v>1.0523126996492804</v>
      </c>
      <c r="X174" s="42">
        <f t="shared" si="80"/>
        <v>1.3724023718490443</v>
      </c>
      <c r="Y174" s="42">
        <f t="shared" si="80"/>
        <v>0.87979221806390573</v>
      </c>
    </row>
    <row r="175" spans="1:25" x14ac:dyDescent="0.2">
      <c r="A175" s="8" t="s">
        <v>678</v>
      </c>
      <c r="B175" s="6" t="s">
        <v>679</v>
      </c>
      <c r="C175" s="6" t="s">
        <v>85</v>
      </c>
      <c r="D175" s="8" t="s">
        <v>941</v>
      </c>
      <c r="E175" s="35">
        <f t="shared" ref="E175:Y175" si="81">Med_horizon</f>
        <v>7</v>
      </c>
      <c r="F175" s="35">
        <f t="shared" si="81"/>
        <v>7</v>
      </c>
      <c r="G175" s="35">
        <f t="shared" si="81"/>
        <v>7</v>
      </c>
      <c r="H175" s="35">
        <f t="shared" si="81"/>
        <v>7</v>
      </c>
      <c r="I175" s="35">
        <f t="shared" si="81"/>
        <v>7</v>
      </c>
      <c r="J175" s="35">
        <f t="shared" si="81"/>
        <v>7</v>
      </c>
      <c r="K175" s="35">
        <f t="shared" si="81"/>
        <v>7</v>
      </c>
      <c r="L175" s="35">
        <f t="shared" si="81"/>
        <v>7</v>
      </c>
      <c r="M175" s="35">
        <f t="shared" si="81"/>
        <v>7</v>
      </c>
      <c r="N175" s="35">
        <f t="shared" si="81"/>
        <v>7</v>
      </c>
      <c r="O175" s="35">
        <f t="shared" si="81"/>
        <v>7</v>
      </c>
      <c r="P175" s="35">
        <f t="shared" si="81"/>
        <v>7</v>
      </c>
      <c r="Q175" s="35">
        <f t="shared" si="81"/>
        <v>7</v>
      </c>
      <c r="R175" s="35">
        <f t="shared" si="81"/>
        <v>7</v>
      </c>
      <c r="S175" s="35">
        <f t="shared" si="81"/>
        <v>7</v>
      </c>
      <c r="T175" s="35">
        <f t="shared" si="81"/>
        <v>7</v>
      </c>
      <c r="U175" s="35">
        <f t="shared" si="81"/>
        <v>7</v>
      </c>
      <c r="V175" s="35">
        <f t="shared" si="81"/>
        <v>7</v>
      </c>
      <c r="W175" s="35">
        <f t="shared" si="81"/>
        <v>7</v>
      </c>
      <c r="X175" s="35">
        <f t="shared" si="81"/>
        <v>7</v>
      </c>
      <c r="Y175" s="35">
        <f t="shared" si="81"/>
        <v>7</v>
      </c>
    </row>
    <row r="176" spans="1:25" x14ac:dyDescent="0.2">
      <c r="A176" s="8" t="s">
        <v>680</v>
      </c>
      <c r="B176" s="6" t="s">
        <v>681</v>
      </c>
      <c r="C176" s="6" t="s">
        <v>548</v>
      </c>
      <c r="D176" s="8" t="s">
        <v>682</v>
      </c>
      <c r="E176" s="35">
        <f t="shared" ref="E176:Y176" si="82">E139*INT((E175-1)/N_battery_life)</f>
        <v>1</v>
      </c>
      <c r="F176" s="35">
        <f t="shared" si="82"/>
        <v>1</v>
      </c>
      <c r="G176" s="35">
        <f t="shared" si="82"/>
        <v>1</v>
      </c>
      <c r="H176" s="35">
        <f t="shared" si="82"/>
        <v>1</v>
      </c>
      <c r="I176" s="35">
        <f t="shared" si="82"/>
        <v>1</v>
      </c>
      <c r="J176" s="35">
        <f t="shared" si="82"/>
        <v>1</v>
      </c>
      <c r="K176" s="35">
        <f t="shared" si="82"/>
        <v>1</v>
      </c>
      <c r="L176" s="35">
        <f t="shared" si="82"/>
        <v>0</v>
      </c>
      <c r="M176" s="35">
        <f t="shared" si="82"/>
        <v>0</v>
      </c>
      <c r="N176" s="35">
        <f t="shared" si="82"/>
        <v>0</v>
      </c>
      <c r="O176" s="35">
        <f t="shared" si="82"/>
        <v>0</v>
      </c>
      <c r="P176" s="35">
        <f t="shared" si="82"/>
        <v>0</v>
      </c>
      <c r="Q176" s="35">
        <f t="shared" si="82"/>
        <v>0</v>
      </c>
      <c r="R176" s="35">
        <f t="shared" si="82"/>
        <v>0</v>
      </c>
      <c r="S176" s="35">
        <f t="shared" si="82"/>
        <v>1</v>
      </c>
      <c r="T176" s="35">
        <f t="shared" si="82"/>
        <v>1</v>
      </c>
      <c r="U176" s="35">
        <f t="shared" si="82"/>
        <v>1</v>
      </c>
      <c r="V176" s="35">
        <f t="shared" si="82"/>
        <v>1</v>
      </c>
      <c r="W176" s="35">
        <f t="shared" si="82"/>
        <v>1</v>
      </c>
      <c r="X176" s="35">
        <f t="shared" si="82"/>
        <v>1</v>
      </c>
      <c r="Y176" s="35">
        <f t="shared" si="82"/>
        <v>1</v>
      </c>
    </row>
    <row r="177" spans="1:25" x14ac:dyDescent="0.2">
      <c r="A177" s="8" t="s">
        <v>683</v>
      </c>
      <c r="B177" s="6" t="s">
        <v>684</v>
      </c>
      <c r="C177" s="6" t="s">
        <v>51</v>
      </c>
      <c r="D177" s="8" t="s">
        <v>685</v>
      </c>
      <c r="E177" s="34">
        <f t="shared" ref="E177:Y177" si="83">E140*N_battery_share</f>
        <v>2160000</v>
      </c>
      <c r="F177" s="34">
        <f t="shared" si="83"/>
        <v>1728000</v>
      </c>
      <c r="G177" s="34">
        <f t="shared" si="83"/>
        <v>2592000</v>
      </c>
      <c r="H177" s="34">
        <f t="shared" si="83"/>
        <v>1920000</v>
      </c>
      <c r="I177" s="34">
        <f t="shared" si="83"/>
        <v>2640000</v>
      </c>
      <c r="J177" s="34">
        <f t="shared" si="83"/>
        <v>2160000</v>
      </c>
      <c r="K177" s="34">
        <f t="shared" si="83"/>
        <v>2160000</v>
      </c>
      <c r="L177" s="34">
        <f t="shared" si="83"/>
        <v>0</v>
      </c>
      <c r="M177" s="34">
        <f t="shared" si="83"/>
        <v>0</v>
      </c>
      <c r="N177" s="34">
        <f t="shared" si="83"/>
        <v>0</v>
      </c>
      <c r="O177" s="34">
        <f t="shared" si="83"/>
        <v>0</v>
      </c>
      <c r="P177" s="34">
        <f t="shared" si="83"/>
        <v>0</v>
      </c>
      <c r="Q177" s="34">
        <f t="shared" si="83"/>
        <v>0</v>
      </c>
      <c r="R177" s="34">
        <f t="shared" si="83"/>
        <v>0</v>
      </c>
      <c r="S177" s="34">
        <f t="shared" si="83"/>
        <v>1620000</v>
      </c>
      <c r="T177" s="34">
        <f t="shared" si="83"/>
        <v>1296000</v>
      </c>
      <c r="U177" s="34">
        <f t="shared" si="83"/>
        <v>1944000</v>
      </c>
      <c r="V177" s="34">
        <f t="shared" si="83"/>
        <v>1440000</v>
      </c>
      <c r="W177" s="34">
        <f t="shared" si="83"/>
        <v>1980000</v>
      </c>
      <c r="X177" s="34">
        <f t="shared" si="83"/>
        <v>1620000</v>
      </c>
      <c r="Y177" s="34">
        <f t="shared" si="83"/>
        <v>1620000</v>
      </c>
    </row>
    <row r="178" spans="1:25" x14ac:dyDescent="0.2">
      <c r="A178" s="8" t="s">
        <v>686</v>
      </c>
      <c r="B178" s="6" t="s">
        <v>687</v>
      </c>
      <c r="C178" s="6" t="s">
        <v>51</v>
      </c>
      <c r="D178" s="8" t="s">
        <v>688</v>
      </c>
      <c r="E178" s="34">
        <f t="shared" ref="E178:Y178" si="84">E171*E175-E176*E177</f>
        <v>174925461.72800002</v>
      </c>
      <c r="F178" s="34">
        <f t="shared" si="84"/>
        <v>178381461.72800002</v>
      </c>
      <c r="G178" s="34">
        <f t="shared" si="84"/>
        <v>171469461.72800002</v>
      </c>
      <c r="H178" s="34">
        <f t="shared" si="84"/>
        <v>133395698.58239999</v>
      </c>
      <c r="I178" s="34">
        <f t="shared" si="84"/>
        <v>213913848.87360004</v>
      </c>
      <c r="J178" s="34">
        <f t="shared" si="84"/>
        <v>135365752.58239999</v>
      </c>
      <c r="K178" s="34">
        <f t="shared" si="84"/>
        <v>214485170.87360004</v>
      </c>
      <c r="L178" s="34">
        <f t="shared" si="84"/>
        <v>155917461.72800002</v>
      </c>
      <c r="M178" s="34">
        <f t="shared" si="84"/>
        <v>163175061.72800002</v>
      </c>
      <c r="N178" s="34">
        <f t="shared" si="84"/>
        <v>148659861.72800002</v>
      </c>
      <c r="O178" s="34">
        <f t="shared" si="84"/>
        <v>116499698.58240001</v>
      </c>
      <c r="P178" s="34">
        <f t="shared" si="84"/>
        <v>190681848.87360004</v>
      </c>
      <c r="Q178" s="34">
        <f t="shared" si="84"/>
        <v>116357752.58240001</v>
      </c>
      <c r="R178" s="34">
        <f t="shared" si="84"/>
        <v>195477170.87360004</v>
      </c>
      <c r="S178" s="34">
        <f t="shared" si="84"/>
        <v>179245461.72800002</v>
      </c>
      <c r="T178" s="34">
        <f t="shared" si="84"/>
        <v>181837461.72800002</v>
      </c>
      <c r="U178" s="34">
        <f t="shared" si="84"/>
        <v>176653461.72800002</v>
      </c>
      <c r="V178" s="34">
        <f t="shared" si="84"/>
        <v>137235698.58239999</v>
      </c>
      <c r="W178" s="34">
        <f t="shared" si="84"/>
        <v>219193848.87360004</v>
      </c>
      <c r="X178" s="34">
        <f t="shared" si="84"/>
        <v>139685752.58239999</v>
      </c>
      <c r="Y178" s="34">
        <f t="shared" si="84"/>
        <v>218805170.87360004</v>
      </c>
    </row>
    <row r="179" spans="1:25" x14ac:dyDescent="0.2">
      <c r="A179" s="8" t="s">
        <v>689</v>
      </c>
      <c r="B179" s="37" t="s">
        <v>690</v>
      </c>
      <c r="C179" s="6" t="s">
        <v>558</v>
      </c>
      <c r="D179" s="8" t="s">
        <v>691</v>
      </c>
      <c r="E179" s="43">
        <f t="shared" ref="E179:Y179" si="85">IF(E150&gt;0,E178/E150,"—")</f>
        <v>4.8563358942588923</v>
      </c>
      <c r="F179" s="43">
        <f t="shared" si="85"/>
        <v>6.0741629443683021</v>
      </c>
      <c r="G179" s="43">
        <f t="shared" si="85"/>
        <v>4.0182331793634596</v>
      </c>
      <c r="H179" s="43">
        <f t="shared" si="85"/>
        <v>4.126965471357039</v>
      </c>
      <c r="I179" s="43">
        <f t="shared" si="85"/>
        <v>4.9273975482912444</v>
      </c>
      <c r="J179" s="43">
        <f t="shared" si="85"/>
        <v>3.7580667595519714</v>
      </c>
      <c r="K179" s="43">
        <f t="shared" si="85"/>
        <v>5.9546050289658128</v>
      </c>
      <c r="L179" s="43">
        <f t="shared" si="85"/>
        <v>17.941035001006842</v>
      </c>
      <c r="M179" s="43">
        <f t="shared" si="85"/>
        <v>21.749280141818449</v>
      </c>
      <c r="N179" s="43">
        <f t="shared" si="85"/>
        <v>15.048753281402636</v>
      </c>
      <c r="O179" s="43">
        <f t="shared" si="85"/>
        <v>14.507063474158061</v>
      </c>
      <c r="P179" s="43">
        <f t="shared" si="85"/>
        <v>19.04808915330327</v>
      </c>
      <c r="Q179" s="43">
        <f t="shared" si="85"/>
        <v>13.388997541283349</v>
      </c>
      <c r="R179" s="43">
        <f t="shared" si="85"/>
        <v>22.493072460730339</v>
      </c>
      <c r="S179" s="43">
        <f t="shared" si="85"/>
        <v>6.4700093209476597</v>
      </c>
      <c r="T179" s="43">
        <f t="shared" si="85"/>
        <v>8.005364942932804</v>
      </c>
      <c r="U179" s="43">
        <f t="shared" si="85"/>
        <v>5.4032957998877462</v>
      </c>
      <c r="V179" s="43">
        <f t="shared" si="85"/>
        <v>5.5046317361512491</v>
      </c>
      <c r="W179" s="43">
        <f t="shared" si="85"/>
        <v>6.5924647358985125</v>
      </c>
      <c r="X179" s="43">
        <f t="shared" si="85"/>
        <v>5.0420697545088169</v>
      </c>
      <c r="Y179" s="43">
        <f t="shared" si="85"/>
        <v>7.8979488873865025</v>
      </c>
    </row>
    <row r="180" spans="1:25" ht="26" x14ac:dyDescent="0.2">
      <c r="A180" s="8" t="s">
        <v>692</v>
      </c>
      <c r="B180" s="37" t="s">
        <v>693</v>
      </c>
      <c r="C180" s="6" t="s">
        <v>51</v>
      </c>
      <c r="D180" s="8" t="s">
        <v>694</v>
      </c>
      <c r="E180" s="41">
        <f t="shared" ref="E180:Y180" si="86">E150+E162*E175+E176*E177</f>
        <v>81450284</v>
      </c>
      <c r="F180" s="41">
        <f t="shared" si="86"/>
        <v>71341484</v>
      </c>
      <c r="G180" s="41">
        <f t="shared" si="86"/>
        <v>91559084</v>
      </c>
      <c r="H180" s="41">
        <f t="shared" si="86"/>
        <v>75211808</v>
      </c>
      <c r="I180" s="41">
        <f t="shared" si="86"/>
        <v>93926136</v>
      </c>
      <c r="J180" s="41">
        <f t="shared" si="86"/>
        <v>76938854</v>
      </c>
      <c r="K180" s="41">
        <f t="shared" si="86"/>
        <v>85961714</v>
      </c>
      <c r="L180" s="41">
        <f t="shared" si="86"/>
        <v>73128784</v>
      </c>
      <c r="M180" s="41">
        <f t="shared" si="86"/>
        <v>64683184</v>
      </c>
      <c r="N180" s="41">
        <f t="shared" si="86"/>
        <v>81574384</v>
      </c>
      <c r="O180" s="41">
        <f t="shared" si="86"/>
        <v>67815408</v>
      </c>
      <c r="P180" s="41">
        <f t="shared" si="86"/>
        <v>83755536</v>
      </c>
      <c r="Q180" s="41">
        <f t="shared" si="86"/>
        <v>68617354</v>
      </c>
      <c r="R180" s="41">
        <f t="shared" si="86"/>
        <v>77640214</v>
      </c>
      <c r="S180" s="41">
        <f t="shared" si="86"/>
        <v>68814284</v>
      </c>
      <c r="T180" s="41">
        <f t="shared" si="86"/>
        <v>61232684</v>
      </c>
      <c r="U180" s="41">
        <f t="shared" si="86"/>
        <v>76395884</v>
      </c>
      <c r="V180" s="41">
        <f t="shared" si="86"/>
        <v>63979808</v>
      </c>
      <c r="W180" s="41">
        <f t="shared" si="86"/>
        <v>78482136</v>
      </c>
      <c r="X180" s="41">
        <f t="shared" si="86"/>
        <v>64302854</v>
      </c>
      <c r="Y180" s="41">
        <f t="shared" si="86"/>
        <v>73325714</v>
      </c>
    </row>
    <row r="181" spans="1:25" x14ac:dyDescent="0.2">
      <c r="A181" s="8" t="s">
        <v>695</v>
      </c>
      <c r="B181" s="6" t="s">
        <v>696</v>
      </c>
      <c r="C181" s="6" t="s">
        <v>51</v>
      </c>
      <c r="D181" s="8" t="s">
        <v>697</v>
      </c>
      <c r="E181" s="34">
        <f t="shared" ref="E181:Y181" si="87">E137*E175</f>
        <v>297404402.40000004</v>
      </c>
      <c r="F181" s="34">
        <f t="shared" si="87"/>
        <v>297404402.40000004</v>
      </c>
      <c r="G181" s="34">
        <f t="shared" si="87"/>
        <v>297404402.40000004</v>
      </c>
      <c r="H181" s="34">
        <f t="shared" si="87"/>
        <v>237923521.92000002</v>
      </c>
      <c r="I181" s="34">
        <f t="shared" si="87"/>
        <v>356885282.88</v>
      </c>
      <c r="J181" s="34">
        <f t="shared" si="87"/>
        <v>237923521.92000002</v>
      </c>
      <c r="K181" s="34">
        <f t="shared" si="87"/>
        <v>356885282.88</v>
      </c>
      <c r="L181" s="34">
        <f t="shared" si="87"/>
        <v>297404402.40000004</v>
      </c>
      <c r="M181" s="34">
        <f t="shared" si="87"/>
        <v>297404402.40000004</v>
      </c>
      <c r="N181" s="34">
        <f t="shared" si="87"/>
        <v>297404402.40000004</v>
      </c>
      <c r="O181" s="34">
        <f t="shared" si="87"/>
        <v>237923521.92000002</v>
      </c>
      <c r="P181" s="34">
        <f t="shared" si="87"/>
        <v>356885282.88</v>
      </c>
      <c r="Q181" s="34">
        <f t="shared" si="87"/>
        <v>237923521.92000002</v>
      </c>
      <c r="R181" s="34">
        <f t="shared" si="87"/>
        <v>356885282.88</v>
      </c>
      <c r="S181" s="34">
        <f t="shared" si="87"/>
        <v>297404402.40000004</v>
      </c>
      <c r="T181" s="34">
        <f t="shared" si="87"/>
        <v>297404402.40000004</v>
      </c>
      <c r="U181" s="34">
        <f t="shared" si="87"/>
        <v>297404402.40000004</v>
      </c>
      <c r="V181" s="34">
        <f t="shared" si="87"/>
        <v>237923521.92000002</v>
      </c>
      <c r="W181" s="34">
        <f t="shared" si="87"/>
        <v>356885282.88</v>
      </c>
      <c r="X181" s="34">
        <f t="shared" si="87"/>
        <v>237923521.92000002</v>
      </c>
      <c r="Y181" s="34">
        <f t="shared" si="87"/>
        <v>356885282.88</v>
      </c>
    </row>
    <row r="182" spans="1:25" ht="28" x14ac:dyDescent="0.2">
      <c r="A182" s="8" t="s">
        <v>698</v>
      </c>
      <c r="B182" s="37" t="s">
        <v>699</v>
      </c>
      <c r="C182" s="6" t="s">
        <v>51</v>
      </c>
      <c r="D182" s="8" t="s">
        <v>700</v>
      </c>
      <c r="E182" s="41">
        <f t="shared" ref="E182:Y182" si="88">E150+E167*E175+E176*E177</f>
        <v>164723516.67199999</v>
      </c>
      <c r="F182" s="41">
        <f t="shared" si="88"/>
        <v>154614716.67199999</v>
      </c>
      <c r="G182" s="41">
        <f t="shared" si="88"/>
        <v>174832316.67199999</v>
      </c>
      <c r="H182" s="41">
        <f t="shared" si="88"/>
        <v>141830394.1376</v>
      </c>
      <c r="I182" s="41">
        <f t="shared" si="88"/>
        <v>193854015.20640001</v>
      </c>
      <c r="J182" s="41">
        <f t="shared" si="88"/>
        <v>143557440.1376</v>
      </c>
      <c r="K182" s="41">
        <f t="shared" si="88"/>
        <v>185889593.20640001</v>
      </c>
      <c r="L182" s="41">
        <f t="shared" si="88"/>
        <v>156402016.67199999</v>
      </c>
      <c r="M182" s="41">
        <f t="shared" si="88"/>
        <v>147956416.67199999</v>
      </c>
      <c r="N182" s="41">
        <f t="shared" si="88"/>
        <v>164847616.67199999</v>
      </c>
      <c r="O182" s="41">
        <f t="shared" si="88"/>
        <v>134433994.1376</v>
      </c>
      <c r="P182" s="41">
        <f t="shared" si="88"/>
        <v>183683415.20640001</v>
      </c>
      <c r="Q182" s="41">
        <f t="shared" si="88"/>
        <v>135235940.1376</v>
      </c>
      <c r="R182" s="41">
        <f t="shared" si="88"/>
        <v>177568093.20640001</v>
      </c>
      <c r="S182" s="41">
        <f t="shared" si="88"/>
        <v>152087516.67199999</v>
      </c>
      <c r="T182" s="41">
        <f t="shared" si="88"/>
        <v>144505916.67199999</v>
      </c>
      <c r="U182" s="41">
        <f t="shared" si="88"/>
        <v>159669116.67199999</v>
      </c>
      <c r="V182" s="41">
        <f t="shared" si="88"/>
        <v>130598394.1376</v>
      </c>
      <c r="W182" s="41">
        <f t="shared" si="88"/>
        <v>178410015.20640001</v>
      </c>
      <c r="X182" s="41">
        <f t="shared" si="88"/>
        <v>130921440.1376</v>
      </c>
      <c r="Y182" s="41">
        <f t="shared" si="88"/>
        <v>173253593.20640001</v>
      </c>
    </row>
    <row r="183" spans="1:25" x14ac:dyDescent="0.2">
      <c r="A183" s="8" t="s">
        <v>701</v>
      </c>
      <c r="B183" s="37" t="s">
        <v>702</v>
      </c>
      <c r="C183" s="6" t="s">
        <v>51</v>
      </c>
      <c r="D183" s="8" t="s">
        <v>703</v>
      </c>
      <c r="E183" s="41">
        <f t="shared" ref="E183:Y183" si="89">E182-E181</f>
        <v>-132680885.72800004</v>
      </c>
      <c r="F183" s="41">
        <f t="shared" si="89"/>
        <v>-142789685.72800004</v>
      </c>
      <c r="G183" s="41">
        <f t="shared" si="89"/>
        <v>-122572085.72800004</v>
      </c>
      <c r="H183" s="41">
        <f t="shared" si="89"/>
        <v>-96093127.782400012</v>
      </c>
      <c r="I183" s="41">
        <f t="shared" si="89"/>
        <v>-163031267.67359999</v>
      </c>
      <c r="J183" s="41">
        <f t="shared" si="89"/>
        <v>-94366081.782400012</v>
      </c>
      <c r="K183" s="41">
        <f t="shared" si="89"/>
        <v>-170995689.67359999</v>
      </c>
      <c r="L183" s="41">
        <f t="shared" si="89"/>
        <v>-141002385.72800004</v>
      </c>
      <c r="M183" s="41">
        <f t="shared" si="89"/>
        <v>-149447985.72800004</v>
      </c>
      <c r="N183" s="41">
        <f t="shared" si="89"/>
        <v>-132556785.72800004</v>
      </c>
      <c r="O183" s="41">
        <f t="shared" si="89"/>
        <v>-103489527.78240001</v>
      </c>
      <c r="P183" s="41">
        <f t="shared" si="89"/>
        <v>-173201867.67359999</v>
      </c>
      <c r="Q183" s="41">
        <f t="shared" si="89"/>
        <v>-102687581.78240001</v>
      </c>
      <c r="R183" s="41">
        <f t="shared" si="89"/>
        <v>-179317189.67359999</v>
      </c>
      <c r="S183" s="41">
        <f t="shared" si="89"/>
        <v>-145316885.72800004</v>
      </c>
      <c r="T183" s="41">
        <f t="shared" si="89"/>
        <v>-152898485.72800004</v>
      </c>
      <c r="U183" s="41">
        <f t="shared" si="89"/>
        <v>-137735285.72800004</v>
      </c>
      <c r="V183" s="41">
        <f t="shared" si="89"/>
        <v>-107325127.78240001</v>
      </c>
      <c r="W183" s="41">
        <f t="shared" si="89"/>
        <v>-178475267.67359999</v>
      </c>
      <c r="X183" s="41">
        <f t="shared" si="89"/>
        <v>-107002081.78240001</v>
      </c>
      <c r="Y183" s="41">
        <f t="shared" si="89"/>
        <v>-183631689.67359999</v>
      </c>
    </row>
    <row r="184" spans="1:25" ht="117" x14ac:dyDescent="0.2">
      <c r="A184" s="8" t="s">
        <v>704</v>
      </c>
      <c r="B184" s="37" t="s">
        <v>705</v>
      </c>
      <c r="C184" s="6"/>
      <c r="D184" s="8" t="s">
        <v>706</v>
      </c>
      <c r="E184" s="44" t="str">
        <f t="shared" ref="E184:Y184" si="90">IF(E111=0,"Не применимо",IF(E171&lt;=0,"Не окупается: годовой эффект ≤ 0",IF(E174&lt;=N_pb_good,"Высокая целесообразность (окупаемость до "&amp;N_pb_good&amp;" лет)",IF(E174&lt;=N_pb_mid,"Средняя целесообразность ("&amp;N_pb_good&amp;"–"&amp;N_pb_mid&amp;" лет) — рекомендован пилот","Низкая целесообразность (более "&amp;N_pb_mid&amp;" лет) — требует уточнения данных"))))</f>
        <v>Высокая целесообразность (окупаемость до 2 лет)</v>
      </c>
      <c r="F184" s="44" t="str">
        <f t="shared" si="90"/>
        <v>Высокая целесообразность (окупаемость до 2 лет)</v>
      </c>
      <c r="G184" s="44" t="str">
        <f t="shared" si="90"/>
        <v>Высокая целесообразность (окупаемость до 2 лет)</v>
      </c>
      <c r="H184" s="44" t="str">
        <f t="shared" si="90"/>
        <v>Высокая целесообразность (окупаемость до 2 лет)</v>
      </c>
      <c r="I184" s="44" t="str">
        <f t="shared" si="90"/>
        <v>Высокая целесообразность (окупаемость до 2 лет)</v>
      </c>
      <c r="J184" s="44" t="str">
        <f t="shared" si="90"/>
        <v>Высокая целесообразность (окупаемость до 2 лет)</v>
      </c>
      <c r="K184" s="44" t="str">
        <f t="shared" si="90"/>
        <v>Высокая целесообразность (окупаемость до 2 лет)</v>
      </c>
      <c r="L184" s="44" t="str">
        <f t="shared" si="90"/>
        <v>Высокая целесообразность (окупаемость до 2 лет)</v>
      </c>
      <c r="M184" s="44" t="str">
        <f t="shared" si="90"/>
        <v>Высокая целесообразность (окупаемость до 2 лет)</v>
      </c>
      <c r="N184" s="44" t="str">
        <f t="shared" si="90"/>
        <v>Высокая целесообразность (окупаемость до 2 лет)</v>
      </c>
      <c r="O184" s="44" t="str">
        <f t="shared" si="90"/>
        <v>Высокая целесообразность (окупаемость до 2 лет)</v>
      </c>
      <c r="P184" s="44" t="str">
        <f t="shared" si="90"/>
        <v>Высокая целесообразность (окупаемость до 2 лет)</v>
      </c>
      <c r="Q184" s="44" t="str">
        <f t="shared" si="90"/>
        <v>Высокая целесообразность (окупаемость до 2 лет)</v>
      </c>
      <c r="R184" s="44" t="str">
        <f t="shared" si="90"/>
        <v>Высокая целесообразность (окупаемость до 2 лет)</v>
      </c>
      <c r="S184" s="44" t="str">
        <f t="shared" si="90"/>
        <v>Высокая целесообразность (окупаемость до 2 лет)</v>
      </c>
      <c r="T184" s="44" t="str">
        <f t="shared" si="90"/>
        <v>Высокая целесообразность (окупаемость до 2 лет)</v>
      </c>
      <c r="U184" s="44" t="str">
        <f t="shared" si="90"/>
        <v>Высокая целесообразность (окупаемость до 2 лет)</v>
      </c>
      <c r="V184" s="44" t="str">
        <f t="shared" si="90"/>
        <v>Высокая целесообразность (окупаемость до 2 лет)</v>
      </c>
      <c r="W184" s="44" t="str">
        <f t="shared" si="90"/>
        <v>Высокая целесообразность (окупаемость до 2 лет)</v>
      </c>
      <c r="X184" s="44" t="str">
        <f t="shared" si="90"/>
        <v>Высокая целесообразность (окупаемость до 2 лет)</v>
      </c>
      <c r="Y184" s="44" t="str">
        <f t="shared" si="90"/>
        <v>Высокая целесообразность (окупаемость до 2 лет)</v>
      </c>
    </row>
    <row r="185" spans="1:25" ht="143" x14ac:dyDescent="0.2">
      <c r="A185" s="8" t="s">
        <v>707</v>
      </c>
      <c r="B185" s="6" t="s">
        <v>708</v>
      </c>
      <c r="C185" s="6"/>
      <c r="D185" s="8" t="s">
        <v>709</v>
      </c>
      <c r="E185" s="6" t="str">
        <f t="shared" ref="E185:Y185" si="91">IF(E88&lt;&gt;"operation","Зрелость: статус «"&amp;E88&amp;"»; ","")&amp;IF(E89&lt;&gt;"Да","ТТХ требуют подтверждения; ","")&amp;IF(E151="Превышает бюджет","CAPEX выше планового бюджета; ","")&amp;IF(E134&lt;&gt;"ОК","недостаточно мощности для зарядки; ","")&amp;IF(E132&lt;0.3,"низкая среднесуточная загрузка парка (парк рассчитан на пик) — рассмотреть частичную роботизацию или RaaS; ","")</f>
        <v xml:space="preserve">Зрелость: статус «piloting»; ТТХ требуют подтверждения; CAPEX выше планового бюджета; </v>
      </c>
      <c r="F185" s="6" t="str">
        <f t="shared" si="91"/>
        <v xml:space="preserve">Зрелость: статус «piloting»; ТТХ требуют подтверждения; </v>
      </c>
      <c r="G185" s="6" t="str">
        <f t="shared" si="91"/>
        <v xml:space="preserve">Зрелость: статус «piloting»; ТТХ требуют подтверждения; CAPEX выше планового бюджета; </v>
      </c>
      <c r="H185" s="6" t="str">
        <f t="shared" si="91"/>
        <v xml:space="preserve">Зрелость: статус «piloting»; ТТХ требуют подтверждения; </v>
      </c>
      <c r="I185" s="6" t="str">
        <f t="shared" si="91"/>
        <v xml:space="preserve">Зрелость: статус «piloting»; ТТХ требуют подтверждения; CAPEX выше планового бюджета; </v>
      </c>
      <c r="J185" s="6" t="str">
        <f t="shared" si="91"/>
        <v xml:space="preserve">Зрелость: статус «piloting»; ТТХ требуют подтверждения; CAPEX выше планового бюджета; </v>
      </c>
      <c r="K185" s="6" t="str">
        <f t="shared" si="91"/>
        <v xml:space="preserve">Зрелость: статус «piloting»; ТТХ требуют подтверждения; CAPEX выше планового бюджета; </v>
      </c>
      <c r="L185" s="6" t="str">
        <f t="shared" si="91"/>
        <v xml:space="preserve">Зрелость: статус «piloting»; ТТХ требуют подтверждения; </v>
      </c>
      <c r="M185" s="6" t="str">
        <f t="shared" si="91"/>
        <v xml:space="preserve">Зрелость: статус «piloting»; ТТХ требуют подтверждения; </v>
      </c>
      <c r="N185" s="6" t="str">
        <f t="shared" si="91"/>
        <v xml:space="preserve">Зрелость: статус «piloting»; ТТХ требуют подтверждения; </v>
      </c>
      <c r="O185" s="6" t="str">
        <f t="shared" si="91"/>
        <v xml:space="preserve">Зрелость: статус «piloting»; ТТХ требуют подтверждения; </v>
      </c>
      <c r="P185" s="6" t="str">
        <f t="shared" si="91"/>
        <v xml:space="preserve">Зрелость: статус «piloting»; ТТХ требуют подтверждения; </v>
      </c>
      <c r="Q185" s="6" t="str">
        <f t="shared" si="91"/>
        <v xml:space="preserve">Зрелость: статус «piloting»; ТТХ требуют подтверждения; </v>
      </c>
      <c r="R185" s="6" t="str">
        <f t="shared" si="91"/>
        <v xml:space="preserve">Зрелость: статус «piloting»; ТТХ требуют подтверждения; </v>
      </c>
      <c r="S185" s="6" t="str">
        <f t="shared" si="91"/>
        <v xml:space="preserve">ТТХ требуют подтверждения; </v>
      </c>
      <c r="T185" s="6" t="str">
        <f t="shared" si="91"/>
        <v xml:space="preserve">ТТХ требуют подтверждения; </v>
      </c>
      <c r="U185" s="6" t="str">
        <f t="shared" si="91"/>
        <v xml:space="preserve">ТТХ требуют подтверждения; </v>
      </c>
      <c r="V185" s="6" t="str">
        <f t="shared" si="91"/>
        <v xml:space="preserve">ТТХ требуют подтверждения; </v>
      </c>
      <c r="W185" s="6" t="str">
        <f t="shared" si="91"/>
        <v xml:space="preserve">ТТХ требуют подтверждения; </v>
      </c>
      <c r="X185" s="6" t="str">
        <f t="shared" si="91"/>
        <v xml:space="preserve">ТТХ требуют подтверждения; </v>
      </c>
      <c r="Y185" s="6" t="str">
        <f t="shared" si="91"/>
        <v xml:space="preserve">ТТХ требуют подтверждения; </v>
      </c>
    </row>
    <row r="187" spans="1:25" ht="18" customHeight="1" x14ac:dyDescent="0.2">
      <c r="A187" s="18" t="s">
        <v>710</v>
      </c>
      <c r="B187" s="18"/>
      <c r="C187" s="18"/>
      <c r="D187" s="18"/>
      <c r="E187" s="18"/>
      <c r="F187" s="18"/>
      <c r="G187" s="18"/>
      <c r="H187" s="18"/>
    </row>
    <row r="188" spans="1:25" ht="30" customHeight="1" x14ac:dyDescent="0.2">
      <c r="A188" s="5"/>
      <c r="B188" s="5" t="s">
        <v>711</v>
      </c>
      <c r="C188" s="5" t="s">
        <v>20</v>
      </c>
      <c r="D188" s="5" t="s">
        <v>712</v>
      </c>
      <c r="E188" s="5" t="s">
        <v>408</v>
      </c>
      <c r="F188" s="5" t="s">
        <v>409</v>
      </c>
      <c r="G188" s="5" t="s">
        <v>410</v>
      </c>
    </row>
    <row r="189" spans="1:25" ht="42" x14ac:dyDescent="0.2">
      <c r="B189" s="44" t="s">
        <v>713</v>
      </c>
      <c r="C189" s="45"/>
      <c r="D189" s="46" t="s">
        <v>197</v>
      </c>
      <c r="E189" s="45" t="str">
        <f>E87</f>
        <v>Ronavi M (AMR для стеллажей/тележек, до 1200 кг)</v>
      </c>
      <c r="F189" s="45" t="str">
        <f>L87</f>
        <v>Ronavi M (AMR для стеллажей/тележек, до 1200 кг)</v>
      </c>
      <c r="G189" s="45" t="str">
        <f>S87</f>
        <v>AMR 800 (Морос, до 800 кг)</v>
      </c>
    </row>
    <row r="190" spans="1:25" ht="16" x14ac:dyDescent="0.2">
      <c r="B190" s="44" t="s">
        <v>714</v>
      </c>
      <c r="C190" s="45"/>
      <c r="D190" s="46" t="s">
        <v>197</v>
      </c>
      <c r="E190" s="45" t="str">
        <f>E88</f>
        <v>piloting</v>
      </c>
      <c r="F190" s="45" t="str">
        <f>L88</f>
        <v>piloting</v>
      </c>
      <c r="G190" s="45" t="str">
        <f>S88</f>
        <v>operation</v>
      </c>
    </row>
    <row r="191" spans="1:25" ht="56" x14ac:dyDescent="0.2">
      <c r="B191" s="44" t="s">
        <v>715</v>
      </c>
      <c r="C191" s="45"/>
      <c r="D191" s="46" t="s">
        <v>197</v>
      </c>
      <c r="E191" s="45" t="str">
        <f>E112</f>
        <v>Применимо: все ключевые ограничения выполнены</v>
      </c>
      <c r="F191" s="45" t="str">
        <f>L112</f>
        <v>Применимо: все ключевые ограничения выполнены</v>
      </c>
      <c r="G191" s="45" t="str">
        <f>S112</f>
        <v>Применимо: все ключевые ограничения выполнены</v>
      </c>
    </row>
    <row r="192" spans="1:25" x14ac:dyDescent="0.2">
      <c r="B192" s="44" t="s">
        <v>716</v>
      </c>
      <c r="C192" s="45" t="s">
        <v>548</v>
      </c>
      <c r="D192" s="47">
        <v>0</v>
      </c>
      <c r="E192" s="48">
        <f>E129</f>
        <v>9</v>
      </c>
      <c r="F192" s="48">
        <f>L129</f>
        <v>9</v>
      </c>
      <c r="G192" s="48">
        <f>S129</f>
        <v>9</v>
      </c>
    </row>
    <row r="193" spans="2:7" x14ac:dyDescent="0.2">
      <c r="B193" s="44" t="s">
        <v>717</v>
      </c>
      <c r="C193" s="45" t="s">
        <v>548</v>
      </c>
      <c r="D193" s="47">
        <v>0</v>
      </c>
      <c r="E193" s="48">
        <f>E130</f>
        <v>5</v>
      </c>
      <c r="F193" s="48">
        <f>L130</f>
        <v>5</v>
      </c>
      <c r="G193" s="48">
        <f>S130</f>
        <v>5</v>
      </c>
    </row>
    <row r="194" spans="2:7" x14ac:dyDescent="0.2">
      <c r="B194" s="44" t="s">
        <v>718</v>
      </c>
      <c r="C194" s="45" t="s">
        <v>51</v>
      </c>
      <c r="D194" s="49">
        <v>0</v>
      </c>
      <c r="E194" s="50">
        <f>E150</f>
        <v>36020050</v>
      </c>
      <c r="F194" s="50">
        <f>L150</f>
        <v>8690550</v>
      </c>
      <c r="G194" s="50">
        <f>S150</f>
        <v>27704050</v>
      </c>
    </row>
    <row r="195" spans="2:7" ht="16" x14ac:dyDescent="0.2">
      <c r="B195" s="44" t="s">
        <v>719</v>
      </c>
      <c r="C195" s="45"/>
      <c r="D195" s="46" t="s">
        <v>197</v>
      </c>
      <c r="E195" s="45" t="str">
        <f>E151</f>
        <v>Превышает бюджет</v>
      </c>
      <c r="F195" s="45" t="str">
        <f>L151</f>
        <v>В бюджете</v>
      </c>
      <c r="G195" s="45" t="str">
        <f>S151</f>
        <v>В бюджете</v>
      </c>
    </row>
    <row r="196" spans="2:7" x14ac:dyDescent="0.2">
      <c r="B196" s="44" t="s">
        <v>720</v>
      </c>
      <c r="C196" s="45" t="s">
        <v>91</v>
      </c>
      <c r="D196" s="49">
        <f>E137</f>
        <v>42486343.200000003</v>
      </c>
      <c r="E196" s="50">
        <f>E167</f>
        <v>18077638.096000001</v>
      </c>
      <c r="F196" s="50">
        <f>L167</f>
        <v>21101638.096000001</v>
      </c>
      <c r="G196" s="50">
        <f>S167</f>
        <v>17537638.096000001</v>
      </c>
    </row>
    <row r="197" spans="2:7" x14ac:dyDescent="0.2">
      <c r="B197" s="44" t="s">
        <v>721</v>
      </c>
      <c r="C197" s="45" t="s">
        <v>91</v>
      </c>
      <c r="D197" s="49">
        <v>0</v>
      </c>
      <c r="E197" s="50">
        <f>E162</f>
        <v>6181462</v>
      </c>
      <c r="F197" s="50">
        <f>L162</f>
        <v>9205462</v>
      </c>
      <c r="G197" s="50">
        <f>S162</f>
        <v>5641462</v>
      </c>
    </row>
    <row r="198" spans="2:7" x14ac:dyDescent="0.2">
      <c r="B198" s="44" t="s">
        <v>722</v>
      </c>
      <c r="C198" s="45" t="s">
        <v>91</v>
      </c>
      <c r="D198" s="49">
        <v>0</v>
      </c>
      <c r="E198" s="50">
        <f>E168</f>
        <v>-24408705.104000002</v>
      </c>
      <c r="F198" s="50">
        <f>L168</f>
        <v>-21384705.104000002</v>
      </c>
      <c r="G198" s="50">
        <f>S168</f>
        <v>-24948705.104000002</v>
      </c>
    </row>
    <row r="199" spans="2:7" x14ac:dyDescent="0.2">
      <c r="B199" s="44" t="s">
        <v>723</v>
      </c>
      <c r="C199" s="45" t="s">
        <v>374</v>
      </c>
      <c r="D199" s="51">
        <v>0</v>
      </c>
      <c r="E199" s="52">
        <f>E164</f>
        <v>35.927999999999997</v>
      </c>
      <c r="F199" s="52">
        <f>L164</f>
        <v>35.927999999999997</v>
      </c>
      <c r="G199" s="52">
        <f>S164</f>
        <v>35.927999999999997</v>
      </c>
    </row>
    <row r="200" spans="2:7" x14ac:dyDescent="0.2">
      <c r="B200" s="44" t="s">
        <v>724</v>
      </c>
      <c r="C200" s="45" t="s">
        <v>91</v>
      </c>
      <c r="D200" s="49">
        <v>0</v>
      </c>
      <c r="E200" s="50">
        <f>E171</f>
        <v>25297923.104000002</v>
      </c>
      <c r="F200" s="50">
        <f>L171</f>
        <v>22273923.104000002</v>
      </c>
      <c r="G200" s="50">
        <f>S171</f>
        <v>25837923.104000002</v>
      </c>
    </row>
    <row r="201" spans="2:7" x14ac:dyDescent="0.2">
      <c r="B201" s="44" t="s">
        <v>725</v>
      </c>
      <c r="C201" s="45" t="s">
        <v>91</v>
      </c>
      <c r="D201" s="49">
        <v>0</v>
      </c>
      <c r="E201" s="50">
        <f>E173</f>
        <v>21695918.104000002</v>
      </c>
      <c r="F201" s="50">
        <f>L173</f>
        <v>22273923.104000002</v>
      </c>
      <c r="G201" s="50">
        <f>S173</f>
        <v>23067518.104000002</v>
      </c>
    </row>
    <row r="202" spans="2:7" ht="16" x14ac:dyDescent="0.2">
      <c r="B202" s="44" t="s">
        <v>726</v>
      </c>
      <c r="C202" s="45" t="s">
        <v>85</v>
      </c>
      <c r="D202" s="51" t="s">
        <v>197</v>
      </c>
      <c r="E202" s="52">
        <f>E174</f>
        <v>1.4238342749292594</v>
      </c>
      <c r="F202" s="52">
        <f>L174</f>
        <v>0.39016701096715789</v>
      </c>
      <c r="G202" s="52">
        <f>S174</f>
        <v>1.0722243381748862</v>
      </c>
    </row>
    <row r="203" spans="2:7" ht="16" x14ac:dyDescent="0.2">
      <c r="B203" s="44" t="s">
        <v>727</v>
      </c>
      <c r="C203" s="45" t="s">
        <v>558</v>
      </c>
      <c r="D203" s="53" t="s">
        <v>197</v>
      </c>
      <c r="E203" s="54">
        <f>E179</f>
        <v>4.8563358942588923</v>
      </c>
      <c r="F203" s="54">
        <f>L179</f>
        <v>17.941035001006842</v>
      </c>
      <c r="G203" s="54">
        <f>S179</f>
        <v>6.4700093209476597</v>
      </c>
    </row>
    <row r="204" spans="2:7" x14ac:dyDescent="0.2">
      <c r="B204" s="44" t="s">
        <v>728</v>
      </c>
      <c r="C204" s="45" t="s">
        <v>51</v>
      </c>
      <c r="D204" s="49">
        <v>0</v>
      </c>
      <c r="E204" s="50">
        <f>E180</f>
        <v>81450284</v>
      </c>
      <c r="F204" s="50">
        <f>L180</f>
        <v>73128784</v>
      </c>
      <c r="G204" s="50">
        <f>S180</f>
        <v>68814284</v>
      </c>
    </row>
    <row r="205" spans="2:7" x14ac:dyDescent="0.2">
      <c r="B205" s="44" t="s">
        <v>729</v>
      </c>
      <c r="C205" s="45" t="s">
        <v>51</v>
      </c>
      <c r="D205" s="49">
        <f>E181</f>
        <v>297404402.40000004</v>
      </c>
      <c r="E205" s="50">
        <f>E182</f>
        <v>164723516.67199999</v>
      </c>
      <c r="F205" s="50">
        <f>L182</f>
        <v>156402016.67199999</v>
      </c>
      <c r="G205" s="50">
        <f>S182</f>
        <v>152087516.67199999</v>
      </c>
    </row>
    <row r="206" spans="2:7" ht="56" x14ac:dyDescent="0.2">
      <c r="B206" s="44" t="s">
        <v>730</v>
      </c>
      <c r="C206" s="45"/>
      <c r="D206" s="46" t="s">
        <v>731</v>
      </c>
      <c r="E206" s="45" t="str">
        <f>E184</f>
        <v>Высокая целесообразность (окупаемость до 2 лет)</v>
      </c>
      <c r="F206" s="45" t="str">
        <f>L184</f>
        <v>Высокая целесообразность (окупаемость до 2 лет)</v>
      </c>
      <c r="G206" s="45" t="str">
        <f>S184</f>
        <v>Высокая целесообразность (окупаемость до 2 лет)</v>
      </c>
    </row>
    <row r="207" spans="2:7" ht="84" x14ac:dyDescent="0.2">
      <c r="B207" s="44" t="s">
        <v>732</v>
      </c>
      <c r="C207" s="45"/>
      <c r="D207" s="46" t="s">
        <v>197</v>
      </c>
      <c r="E207" s="45" t="str">
        <f>E185</f>
        <v xml:space="preserve">Зрелость: статус «piloting»; ТТХ требуют подтверждения; CAPEX выше планового бюджета; </v>
      </c>
      <c r="F207" s="45" t="str">
        <f>L185</f>
        <v xml:space="preserve">Зрелость: статус «piloting»; ТТХ требуют подтверждения; </v>
      </c>
      <c r="G207" s="45" t="str">
        <f>S185</f>
        <v xml:space="preserve">ТТХ требуют подтверждения; </v>
      </c>
    </row>
    <row r="209" spans="1:11" ht="18" customHeight="1" x14ac:dyDescent="0.2">
      <c r="A209" s="18" t="s">
        <v>733</v>
      </c>
      <c r="B209" s="18"/>
      <c r="C209" s="18"/>
      <c r="D209" s="18"/>
      <c r="E209" s="18"/>
      <c r="F209" s="18"/>
      <c r="G209" s="18"/>
      <c r="H209" s="18"/>
    </row>
    <row r="210" spans="1:11" ht="30" customHeight="1" x14ac:dyDescent="0.2">
      <c r="A210" s="5"/>
      <c r="B210" s="5" t="s">
        <v>734</v>
      </c>
      <c r="C210" s="5" t="s">
        <v>735</v>
      </c>
      <c r="D210" s="5" t="s">
        <v>736</v>
      </c>
      <c r="E210" s="5" t="s">
        <v>737</v>
      </c>
      <c r="F210" s="5" t="s">
        <v>738</v>
      </c>
      <c r="G210" s="5" t="s">
        <v>739</v>
      </c>
      <c r="H210" s="5" t="s">
        <v>740</v>
      </c>
      <c r="I210" s="5" t="s">
        <v>741</v>
      </c>
      <c r="J210" s="5" t="s">
        <v>742</v>
      </c>
      <c r="K210" s="5" t="s">
        <v>743</v>
      </c>
    </row>
    <row r="211" spans="1:11" x14ac:dyDescent="0.2">
      <c r="B211" s="55">
        <v>0</v>
      </c>
      <c r="C211" s="56">
        <f>-E150</f>
        <v>-36020050</v>
      </c>
      <c r="D211" s="56">
        <f>C211</f>
        <v>-36020050</v>
      </c>
      <c r="E211" s="56">
        <f>C211</f>
        <v>-36020050</v>
      </c>
      <c r="F211" s="56">
        <f>-L150</f>
        <v>-8690550</v>
      </c>
      <c r="G211" s="56">
        <f>F211</f>
        <v>-8690550</v>
      </c>
      <c r="H211" s="56">
        <f>F211</f>
        <v>-8690550</v>
      </c>
      <c r="I211" s="56">
        <f>-S150</f>
        <v>-27704050</v>
      </c>
      <c r="J211" s="56">
        <f>I211</f>
        <v>-27704050</v>
      </c>
      <c r="K211" s="56">
        <f>I211</f>
        <v>-27704050</v>
      </c>
    </row>
    <row r="212" spans="1:11" x14ac:dyDescent="0.2">
      <c r="B212" s="55">
        <v>1</v>
      </c>
      <c r="C212" s="56">
        <f>IF(1&lt;=E175,E171-IF(AND(E139=1,MOD(1,N_battery_life)=0,1&lt;=E175-1),E177,0),0)</f>
        <v>25297923.104000002</v>
      </c>
      <c r="D212" s="56">
        <f t="shared" ref="D212:D221" si="92">D211+C212</f>
        <v>-10722126.895999998</v>
      </c>
      <c r="E212" s="56">
        <f>E211+C212/(1+N_discount)^1</f>
        <v>-13021938.087272726</v>
      </c>
      <c r="F212" s="56">
        <f>IF(1&lt;=L175,L171-IF(AND(L139=1,MOD(1,N_battery_life)=0,1&lt;=L175-1),L177,0),0)</f>
        <v>22273923.104000002</v>
      </c>
      <c r="G212" s="56">
        <f t="shared" ref="G212:G221" si="93">G211+F212</f>
        <v>13583373.104000002</v>
      </c>
      <c r="H212" s="56">
        <f>H211+F212/(1+N_discount)^1</f>
        <v>11558471.003636364</v>
      </c>
      <c r="I212" s="56">
        <f>IF(1&lt;=S175,S171-IF(AND(S139=1,MOD(1,N_battery_life)=0,1&lt;=S175-1),S177,0),0)</f>
        <v>25837923.104000002</v>
      </c>
      <c r="J212" s="56">
        <f t="shared" ref="J212:J221" si="94">J211+I212</f>
        <v>-1866126.8959999979</v>
      </c>
      <c r="K212" s="56">
        <f>K211+I212/(1+N_discount)^1</f>
        <v>-4215028.9963636361</v>
      </c>
    </row>
    <row r="213" spans="1:11" x14ac:dyDescent="0.2">
      <c r="B213" s="55">
        <v>2</v>
      </c>
      <c r="C213" s="56">
        <f>IF(2&lt;=E175,E171-IF(AND(E139=1,MOD(2,N_battery_life)=0,2&lt;=E175-1),E177,0),0)</f>
        <v>25297923.104000002</v>
      </c>
      <c r="D213" s="56">
        <f t="shared" si="92"/>
        <v>14575796.208000004</v>
      </c>
      <c r="E213" s="56">
        <f>E212+C213/(1+N_discount)^2</f>
        <v>7885436.3788429759</v>
      </c>
      <c r="F213" s="56">
        <f>IF(2&lt;=L175,L171-IF(AND(L139=1,MOD(2,N_battery_life)=0,2&lt;=L175-1),L177,0),0)</f>
        <v>22273923.104000002</v>
      </c>
      <c r="G213" s="56">
        <f t="shared" si="93"/>
        <v>35857296.208000004</v>
      </c>
      <c r="H213" s="56">
        <f>H212+F213/(1+N_discount)^2</f>
        <v>29966671.916033056</v>
      </c>
      <c r="I213" s="56">
        <f>IF(2&lt;=S175,S171-IF(AND(S139=1,MOD(2,N_battery_life)=0,2&lt;=S175-1),S177,0),0)</f>
        <v>25837923.104000002</v>
      </c>
      <c r="J213" s="56">
        <f t="shared" si="94"/>
        <v>23971796.208000004</v>
      </c>
      <c r="K213" s="56">
        <f>K212+I213/(1+N_discount)^2</f>
        <v>17138626.461487602</v>
      </c>
    </row>
    <row r="214" spans="1:11" x14ac:dyDescent="0.2">
      <c r="B214" s="55">
        <v>3</v>
      </c>
      <c r="C214" s="56">
        <f>IF(3&lt;=E175,E171-IF(AND(E139=1,MOD(3,N_battery_life)=0,3&lt;=E175-1),E177,0),0)</f>
        <v>25297923.104000002</v>
      </c>
      <c r="D214" s="56">
        <f t="shared" si="92"/>
        <v>39873719.312000006</v>
      </c>
      <c r="E214" s="56">
        <f>E213+C214/(1+N_discount)^3</f>
        <v>26892140.438948154</v>
      </c>
      <c r="F214" s="56">
        <f>IF(3&lt;=L175,L171-IF(AND(L139=1,MOD(3,N_battery_life)=0,3&lt;=L175-1),L177,0),0)</f>
        <v>22273923.104000002</v>
      </c>
      <c r="G214" s="56">
        <f t="shared" si="93"/>
        <v>58131219.312000006</v>
      </c>
      <c r="H214" s="56">
        <f>H213+F214/(1+N_discount)^3</f>
        <v>46701400.018211864</v>
      </c>
      <c r="I214" s="56">
        <f>IF(3&lt;=S175,S171-IF(AND(S139=1,MOD(3,N_battery_life)=0,3&lt;=S175-1),S177,0),0)</f>
        <v>25837923.104000002</v>
      </c>
      <c r="J214" s="56">
        <f t="shared" si="94"/>
        <v>49809719.312000006</v>
      </c>
      <c r="K214" s="56">
        <f>K213+I214/(1+N_discount)^3</f>
        <v>36551040.51407963</v>
      </c>
    </row>
    <row r="215" spans="1:11" x14ac:dyDescent="0.2">
      <c r="B215" s="55">
        <v>4</v>
      </c>
      <c r="C215" s="56">
        <f>IF(4&lt;=E175,E171-IF(AND(E139=1,MOD(4,N_battery_life)=0,4&lt;=E175-1),E177,0),0)</f>
        <v>23137923.104000002</v>
      </c>
      <c r="D215" s="56">
        <f t="shared" si="92"/>
        <v>63011642.416000009</v>
      </c>
      <c r="E215" s="56">
        <f>E214+C215/(1+N_discount)^4</f>
        <v>42695653.24818249</v>
      </c>
      <c r="F215" s="56">
        <f>IF(4&lt;=L175,L171-IF(AND(L139=1,MOD(4,N_battery_life)=0,4&lt;=L175-1),L177,0),0)</f>
        <v>22273923.104000002</v>
      </c>
      <c r="G215" s="56">
        <f t="shared" si="93"/>
        <v>80405142.416000009</v>
      </c>
      <c r="H215" s="56">
        <f>H214+F215/(1+N_discount)^4</f>
        <v>61914789.202010781</v>
      </c>
      <c r="I215" s="56">
        <f>IF(4&lt;=S175,S171-IF(AND(S139=1,MOD(4,N_battery_life)=0,4&lt;=S175-1),S177,0),0)</f>
        <v>24217923.104000002</v>
      </c>
      <c r="J215" s="56">
        <f t="shared" si="94"/>
        <v>74027642.416000009</v>
      </c>
      <c r="K215" s="56">
        <f>K214+I215/(1+N_discount)^4</f>
        <v>53092207.855108246</v>
      </c>
    </row>
    <row r="216" spans="1:11" x14ac:dyDescent="0.2">
      <c r="B216" s="55">
        <v>5</v>
      </c>
      <c r="C216" s="56">
        <f>IF(5&lt;=E175,E171-IF(AND(E139=1,MOD(5,N_battery_life)=0,5&lt;=E175-1),E177,0),0)</f>
        <v>25297923.104000002</v>
      </c>
      <c r="D216" s="56">
        <f t="shared" si="92"/>
        <v>88309565.520000011</v>
      </c>
      <c r="E216" s="56">
        <f>E215+C216/(1+N_discount)^5</f>
        <v>58403673.132566936</v>
      </c>
      <c r="F216" s="56">
        <f>IF(5&lt;=L175,L171-IF(AND(L139=1,MOD(5,N_battery_life)=0,5&lt;=L175-1),L177,0),0)</f>
        <v>22273923.104000002</v>
      </c>
      <c r="G216" s="56">
        <f t="shared" si="93"/>
        <v>102679065.52000001</v>
      </c>
      <c r="H216" s="56">
        <f>H215+F216/(1+N_discount)^5</f>
        <v>75745143.005464345</v>
      </c>
      <c r="I216" s="56">
        <f>IF(5&lt;=S175,S171-IF(AND(S139=1,MOD(5,N_battery_life)=0,5&lt;=S175-1),S177,0),0)</f>
        <v>25837923.104000002</v>
      </c>
      <c r="J216" s="56">
        <f t="shared" si="94"/>
        <v>99865565.520000011</v>
      </c>
      <c r="K216" s="56">
        <f>K215+I216/(1+N_discount)^5</f>
        <v>69135525.253944635</v>
      </c>
    </row>
    <row r="217" spans="1:11" x14ac:dyDescent="0.2">
      <c r="B217" s="55">
        <v>6</v>
      </c>
      <c r="C217" s="56">
        <f>IF(6&lt;=E175,E171-IF(AND(E139=1,MOD(6,N_battery_life)=0,6&lt;=E175-1),E177,0),0)</f>
        <v>25297923.104000002</v>
      </c>
      <c r="D217" s="56">
        <f t="shared" si="92"/>
        <v>113607488.62400001</v>
      </c>
      <c r="E217" s="56">
        <f>E216+C217/(1+N_discount)^6</f>
        <v>72683691.209280074</v>
      </c>
      <c r="F217" s="56">
        <f>IF(6&lt;=L175,L171-IF(AND(L139=1,MOD(6,N_battery_life)=0,6&lt;=L175-1),L177,0),0)</f>
        <v>22273923.104000002</v>
      </c>
      <c r="G217" s="56">
        <f t="shared" si="93"/>
        <v>124952988.62400001</v>
      </c>
      <c r="H217" s="56">
        <f>H216+F217/(1+N_discount)^6</f>
        <v>88318191.917694852</v>
      </c>
      <c r="I217" s="56">
        <f>IF(6&lt;=S175,S171-IF(AND(S139=1,MOD(6,N_battery_life)=0,6&lt;=S175-1),S177,0),0)</f>
        <v>25837923.104000002</v>
      </c>
      <c r="J217" s="56">
        <f t="shared" si="94"/>
        <v>125703488.62400001</v>
      </c>
      <c r="K217" s="56">
        <f>K216+I217/(1+N_discount)^6</f>
        <v>83720359.252886802</v>
      </c>
    </row>
    <row r="218" spans="1:11" x14ac:dyDescent="0.2">
      <c r="B218" s="55">
        <v>7</v>
      </c>
      <c r="C218" s="56">
        <f>IF(7&lt;=E175,E171-IF(AND(E139=1,MOD(7,N_battery_life)=0,7&lt;=E175-1),E177,0),0)</f>
        <v>25297923.104000002</v>
      </c>
      <c r="D218" s="56">
        <f t="shared" si="92"/>
        <v>138905411.72800002</v>
      </c>
      <c r="E218" s="56">
        <f>E217+C218/(1+N_discount)^7</f>
        <v>85665525.824473828</v>
      </c>
      <c r="F218" s="56">
        <f>IF(7&lt;=L175,L171-IF(AND(L139=1,MOD(7,N_battery_life)=0,7&lt;=L175-1),L177,0),0)</f>
        <v>22273923.104000002</v>
      </c>
      <c r="G218" s="56">
        <f t="shared" si="93"/>
        <v>147226911.72800002</v>
      </c>
      <c r="H218" s="56">
        <f>H217+F218/(1+N_discount)^7</f>
        <v>99748236.383358955</v>
      </c>
      <c r="I218" s="56">
        <f>IF(7&lt;=S175,S171-IF(AND(S139=1,MOD(7,N_battery_life)=0,7&lt;=S175-1),S177,0),0)</f>
        <v>25837923.104000002</v>
      </c>
      <c r="J218" s="56">
        <f t="shared" si="94"/>
        <v>151541411.72800002</v>
      </c>
      <c r="K218" s="56">
        <f>K217+I218/(1+N_discount)^7</f>
        <v>96979299.251925141</v>
      </c>
    </row>
    <row r="219" spans="1:11" x14ac:dyDescent="0.2">
      <c r="B219" s="55">
        <v>8</v>
      </c>
      <c r="C219" s="56">
        <f>IF(8&lt;=E175,E171-IF(AND(E139=1,MOD(8,N_battery_life)=0,8&lt;=E175-1),E177,0),0)</f>
        <v>0</v>
      </c>
      <c r="D219" s="56">
        <f t="shared" si="92"/>
        <v>138905411.72800002</v>
      </c>
      <c r="E219" s="56">
        <f>E218+C219/(1+N_discount)^8</f>
        <v>85665525.824473828</v>
      </c>
      <c r="F219" s="56">
        <f>IF(8&lt;=L175,L171-IF(AND(L139=1,MOD(8,N_battery_life)=0,8&lt;=L175-1),L177,0),0)</f>
        <v>0</v>
      </c>
      <c r="G219" s="56">
        <f t="shared" si="93"/>
        <v>147226911.72800002</v>
      </c>
      <c r="H219" s="56">
        <f>H218+F219/(1+N_discount)^8</f>
        <v>99748236.383358955</v>
      </c>
      <c r="I219" s="56">
        <f>IF(8&lt;=S175,S171-IF(AND(S139=1,MOD(8,N_battery_life)=0,8&lt;=S175-1),S177,0),0)</f>
        <v>0</v>
      </c>
      <c r="J219" s="56">
        <f t="shared" si="94"/>
        <v>151541411.72800002</v>
      </c>
      <c r="K219" s="56">
        <f>K218+I219/(1+N_discount)^8</f>
        <v>96979299.251925141</v>
      </c>
    </row>
    <row r="220" spans="1:11" x14ac:dyDescent="0.2">
      <c r="B220" s="55">
        <v>9</v>
      </c>
      <c r="C220" s="56">
        <f>IF(9&lt;=E175,E171-IF(AND(E139=1,MOD(9,N_battery_life)=0,9&lt;=E175-1),E177,0),0)</f>
        <v>0</v>
      </c>
      <c r="D220" s="56">
        <f t="shared" si="92"/>
        <v>138905411.72800002</v>
      </c>
      <c r="E220" s="56">
        <f>E219+C220/(1+N_discount)^9</f>
        <v>85665525.824473828</v>
      </c>
      <c r="F220" s="56">
        <f>IF(9&lt;=L175,L171-IF(AND(L139=1,MOD(9,N_battery_life)=0,9&lt;=L175-1),L177,0),0)</f>
        <v>0</v>
      </c>
      <c r="G220" s="56">
        <f t="shared" si="93"/>
        <v>147226911.72800002</v>
      </c>
      <c r="H220" s="56">
        <f>H219+F220/(1+N_discount)^9</f>
        <v>99748236.383358955</v>
      </c>
      <c r="I220" s="56">
        <f>IF(9&lt;=S175,S171-IF(AND(S139=1,MOD(9,N_battery_life)=0,9&lt;=S175-1),S177,0),0)</f>
        <v>0</v>
      </c>
      <c r="J220" s="56">
        <f t="shared" si="94"/>
        <v>151541411.72800002</v>
      </c>
      <c r="K220" s="56">
        <f>K219+I220/(1+N_discount)^9</f>
        <v>96979299.251925141</v>
      </c>
    </row>
    <row r="221" spans="1:11" x14ac:dyDescent="0.2">
      <c r="B221" s="55">
        <v>10</v>
      </c>
      <c r="C221" s="56">
        <f>IF(10&lt;=E175,E171-IF(AND(E139=1,MOD(10,N_battery_life)=0,10&lt;=E175-1),E177,0),0)</f>
        <v>0</v>
      </c>
      <c r="D221" s="56">
        <f t="shared" si="92"/>
        <v>138905411.72800002</v>
      </c>
      <c r="E221" s="56">
        <f>E220+C221/(1+N_discount)^10</f>
        <v>85665525.824473828</v>
      </c>
      <c r="F221" s="56">
        <f>IF(10&lt;=L175,L171-IF(AND(L139=1,MOD(10,N_battery_life)=0,10&lt;=L175-1),L177,0),0)</f>
        <v>0</v>
      </c>
      <c r="G221" s="56">
        <f t="shared" si="93"/>
        <v>147226911.72800002</v>
      </c>
      <c r="H221" s="56">
        <f>H220+F221/(1+N_discount)^10</f>
        <v>99748236.383358955</v>
      </c>
      <c r="I221" s="56">
        <f>IF(10&lt;=S175,S171-IF(AND(S139=1,MOD(10,N_battery_life)=0,10&lt;=S175-1),S177,0),0)</f>
        <v>0</v>
      </c>
      <c r="J221" s="56">
        <f t="shared" si="94"/>
        <v>151541411.72800002</v>
      </c>
      <c r="K221" s="56">
        <f>K220+I221/(1+N_discount)^10</f>
        <v>96979299.251925141</v>
      </c>
    </row>
    <row r="222" spans="1:11" x14ac:dyDescent="0.2">
      <c r="B222" s="3" t="s">
        <v>744</v>
      </c>
      <c r="E222" s="57">
        <f>E221</f>
        <v>85665525.824473828</v>
      </c>
      <c r="H222" s="57">
        <f>H221</f>
        <v>99748236.383358955</v>
      </c>
      <c r="K222" s="57">
        <f>K221</f>
        <v>96979299.251925141</v>
      </c>
    </row>
    <row r="223" spans="1:11" x14ac:dyDescent="0.2">
      <c r="B223" s="3" t="s">
        <v>745</v>
      </c>
      <c r="E223" s="58">
        <f>IF(E221&lt;0,"не окупается",COUNTIF(E211:E221,"&lt;0"))</f>
        <v>2</v>
      </c>
      <c r="H223" s="58">
        <f>IF(H221&lt;0,"не окупается",COUNTIF(H211:H221,"&lt;0"))</f>
        <v>1</v>
      </c>
      <c r="K223" s="58">
        <f>IF(K221&lt;0,"не окупается",COUNTIF(K211:K221,"&lt;0"))</f>
        <v>2</v>
      </c>
    </row>
    <row r="225" spans="1:8" ht="18" customHeight="1" x14ac:dyDescent="0.2">
      <c r="A225" s="18" t="s">
        <v>746</v>
      </c>
      <c r="B225" s="18"/>
      <c r="C225" s="18"/>
      <c r="D225" s="18"/>
      <c r="E225" s="18"/>
      <c r="F225" s="18"/>
      <c r="G225" s="18"/>
      <c r="H225" s="18"/>
    </row>
    <row r="226" spans="1:8" ht="30" customHeight="1" x14ac:dyDescent="0.2">
      <c r="A226" s="5"/>
      <c r="B226" s="5" t="s">
        <v>407</v>
      </c>
      <c r="C226" s="5" t="s">
        <v>253</v>
      </c>
      <c r="D226" s="5" t="s">
        <v>747</v>
      </c>
      <c r="E226" s="5" t="s">
        <v>748</v>
      </c>
      <c r="F226" s="5" t="s">
        <v>749</v>
      </c>
      <c r="G226" s="5" t="s">
        <v>750</v>
      </c>
      <c r="H226" s="5" t="s">
        <v>716</v>
      </c>
    </row>
    <row r="227" spans="1:8" x14ac:dyDescent="0.2">
      <c r="B227" s="59" t="s">
        <v>408</v>
      </c>
      <c r="C227" s="59" t="s">
        <v>197</v>
      </c>
      <c r="D227" s="59" t="s">
        <v>419</v>
      </c>
      <c r="E227" s="60">
        <f>E171</f>
        <v>25297923.104000002</v>
      </c>
      <c r="F227" s="61">
        <f>E174</f>
        <v>1.4238342749292594</v>
      </c>
      <c r="G227" s="62">
        <f>E179</f>
        <v>4.8563358942588923</v>
      </c>
      <c r="H227" s="63">
        <f>E129</f>
        <v>9</v>
      </c>
    </row>
    <row r="228" spans="1:8" x14ac:dyDescent="0.2">
      <c r="B228" s="55" t="s">
        <v>408</v>
      </c>
      <c r="C228" s="55" t="s">
        <v>751</v>
      </c>
      <c r="D228" s="55" t="s">
        <v>420</v>
      </c>
      <c r="E228" s="56">
        <f>F171</f>
        <v>25729923.104000002</v>
      </c>
      <c r="F228" s="64">
        <f>F174</f>
        <v>1.1413656341411504</v>
      </c>
      <c r="G228" s="65">
        <f>F179</f>
        <v>6.0741629443683021</v>
      </c>
      <c r="H228" s="66">
        <f>F129</f>
        <v>9</v>
      </c>
    </row>
    <row r="229" spans="1:8" x14ac:dyDescent="0.2">
      <c r="B229" s="55" t="s">
        <v>408</v>
      </c>
      <c r="C229" s="55" t="s">
        <v>751</v>
      </c>
      <c r="D229" s="55" t="s">
        <v>421</v>
      </c>
      <c r="E229" s="56">
        <f>G171</f>
        <v>24865923.104000002</v>
      </c>
      <c r="F229" s="64">
        <f>G174</f>
        <v>1.716117669210339</v>
      </c>
      <c r="G229" s="65">
        <f>G179</f>
        <v>4.0182331793634596</v>
      </c>
      <c r="H229" s="66">
        <f>G129</f>
        <v>9</v>
      </c>
    </row>
    <row r="230" spans="1:8" x14ac:dyDescent="0.2">
      <c r="B230" s="55" t="s">
        <v>408</v>
      </c>
      <c r="C230" s="55" t="s">
        <v>752</v>
      </c>
      <c r="D230" s="55" t="s">
        <v>422</v>
      </c>
      <c r="E230" s="56">
        <f>H171</f>
        <v>19330814.0832</v>
      </c>
      <c r="F230" s="64">
        <f>H174</f>
        <v>1.6720946081671331</v>
      </c>
      <c r="G230" s="65">
        <f>H179</f>
        <v>4.126965471357039</v>
      </c>
      <c r="H230" s="66">
        <f>H129</f>
        <v>8</v>
      </c>
    </row>
    <row r="231" spans="1:8" x14ac:dyDescent="0.2">
      <c r="B231" s="55" t="s">
        <v>408</v>
      </c>
      <c r="C231" s="55" t="s">
        <v>752</v>
      </c>
      <c r="D231" s="55" t="s">
        <v>423</v>
      </c>
      <c r="E231" s="56">
        <f>I171</f>
        <v>30936264.124800004</v>
      </c>
      <c r="F231" s="64">
        <f>I174</f>
        <v>1.4033093920089053</v>
      </c>
      <c r="G231" s="65">
        <f>I179</f>
        <v>4.9273975482912444</v>
      </c>
      <c r="H231" s="66">
        <f>I129</f>
        <v>11</v>
      </c>
    </row>
    <row r="232" spans="1:8" x14ac:dyDescent="0.2">
      <c r="B232" s="55" t="s">
        <v>408</v>
      </c>
      <c r="C232" s="55" t="s">
        <v>753</v>
      </c>
      <c r="D232" s="55" t="s">
        <v>424</v>
      </c>
      <c r="E232" s="56">
        <f>J171</f>
        <v>19646536.0832</v>
      </c>
      <c r="F232" s="64">
        <f>J174</f>
        <v>1.8334046188834885</v>
      </c>
      <c r="G232" s="65">
        <f>J179</f>
        <v>3.7580667595519714</v>
      </c>
      <c r="H232" s="66">
        <f>J129</f>
        <v>9</v>
      </c>
    </row>
    <row r="233" spans="1:8" x14ac:dyDescent="0.2">
      <c r="B233" s="55" t="s">
        <v>408</v>
      </c>
      <c r="C233" s="55" t="s">
        <v>753</v>
      </c>
      <c r="D233" s="55" t="s">
        <v>425</v>
      </c>
      <c r="E233" s="56">
        <f>K171</f>
        <v>30949310.124800004</v>
      </c>
      <c r="F233" s="64">
        <f>K174</f>
        <v>1.1638401584640414</v>
      </c>
      <c r="G233" s="65">
        <f>K179</f>
        <v>5.9546050289658128</v>
      </c>
      <c r="H233" s="66">
        <f>K129</f>
        <v>9</v>
      </c>
    </row>
    <row r="234" spans="1:8" x14ac:dyDescent="0.2">
      <c r="B234" s="59" t="s">
        <v>409</v>
      </c>
      <c r="C234" s="59" t="s">
        <v>197</v>
      </c>
      <c r="D234" s="59" t="s">
        <v>419</v>
      </c>
      <c r="E234" s="60">
        <f>L171</f>
        <v>22273923.104000002</v>
      </c>
      <c r="F234" s="61">
        <f>L174</f>
        <v>0.39016701096715789</v>
      </c>
      <c r="G234" s="62">
        <f>L179</f>
        <v>17.941035001006842</v>
      </c>
      <c r="H234" s="63">
        <f>L129</f>
        <v>9</v>
      </c>
    </row>
    <row r="235" spans="1:8" x14ac:dyDescent="0.2">
      <c r="B235" s="55" t="s">
        <v>409</v>
      </c>
      <c r="C235" s="55" t="s">
        <v>751</v>
      </c>
      <c r="D235" s="55" t="s">
        <v>420</v>
      </c>
      <c r="E235" s="56">
        <f>M171</f>
        <v>23310723.104000002</v>
      </c>
      <c r="F235" s="64">
        <f>M174</f>
        <v>0.32184973269716377</v>
      </c>
      <c r="G235" s="65">
        <f>M179</f>
        <v>21.749280141818449</v>
      </c>
      <c r="H235" s="66">
        <f>M129</f>
        <v>9</v>
      </c>
    </row>
    <row r="236" spans="1:8" x14ac:dyDescent="0.2">
      <c r="B236" s="55" t="s">
        <v>409</v>
      </c>
      <c r="C236" s="55" t="s">
        <v>751</v>
      </c>
      <c r="D236" s="55" t="s">
        <v>421</v>
      </c>
      <c r="E236" s="56">
        <f>N171</f>
        <v>21237123.104000002</v>
      </c>
      <c r="F236" s="64">
        <f>N174</f>
        <v>0.46515481177106233</v>
      </c>
      <c r="G236" s="65">
        <f>N179</f>
        <v>15.048753281402636</v>
      </c>
      <c r="H236" s="66">
        <f>N129</f>
        <v>9</v>
      </c>
    </row>
    <row r="237" spans="1:8" x14ac:dyDescent="0.2">
      <c r="B237" s="55" t="s">
        <v>409</v>
      </c>
      <c r="C237" s="55" t="s">
        <v>752</v>
      </c>
      <c r="D237" s="55" t="s">
        <v>422</v>
      </c>
      <c r="E237" s="56">
        <f>O171</f>
        <v>16642814.083200002</v>
      </c>
      <c r="F237" s="64">
        <f>O174</f>
        <v>0.48252356601798457</v>
      </c>
      <c r="G237" s="65">
        <f>O179</f>
        <v>14.507063474158061</v>
      </c>
      <c r="H237" s="66">
        <f>O129</f>
        <v>8</v>
      </c>
    </row>
    <row r="238" spans="1:8" x14ac:dyDescent="0.2">
      <c r="B238" s="55" t="s">
        <v>409</v>
      </c>
      <c r="C238" s="55" t="s">
        <v>752</v>
      </c>
      <c r="D238" s="55" t="s">
        <v>423</v>
      </c>
      <c r="E238" s="56">
        <f>P171</f>
        <v>27240264.124800004</v>
      </c>
      <c r="F238" s="64">
        <f>P174</f>
        <v>0.3674909301223046</v>
      </c>
      <c r="G238" s="65">
        <f>P179</f>
        <v>19.04808915330327</v>
      </c>
      <c r="H238" s="66">
        <f>P129</f>
        <v>11</v>
      </c>
    </row>
    <row r="239" spans="1:8" x14ac:dyDescent="0.2">
      <c r="B239" s="55" t="s">
        <v>409</v>
      </c>
      <c r="C239" s="55" t="s">
        <v>753</v>
      </c>
      <c r="D239" s="55" t="s">
        <v>424</v>
      </c>
      <c r="E239" s="56">
        <f>Q171</f>
        <v>16622536.083200002</v>
      </c>
      <c r="F239" s="64">
        <f>Q174</f>
        <v>0.52281733403985986</v>
      </c>
      <c r="G239" s="65">
        <f>Q179</f>
        <v>13.388997541283349</v>
      </c>
      <c r="H239" s="66">
        <f>Q129</f>
        <v>9</v>
      </c>
    </row>
    <row r="240" spans="1:8" x14ac:dyDescent="0.2">
      <c r="B240" s="55" t="s">
        <v>409</v>
      </c>
      <c r="C240" s="55" t="s">
        <v>753</v>
      </c>
      <c r="D240" s="55" t="s">
        <v>425</v>
      </c>
      <c r="E240" s="56">
        <f>R171</f>
        <v>27925310.124800004</v>
      </c>
      <c r="F240" s="64">
        <f>R174</f>
        <v>0.31120692880979206</v>
      </c>
      <c r="G240" s="65">
        <f>R179</f>
        <v>22.493072460730339</v>
      </c>
      <c r="H240" s="66">
        <f>R129</f>
        <v>9</v>
      </c>
    </row>
    <row r="241" spans="1:8" x14ac:dyDescent="0.2">
      <c r="B241" s="59" t="s">
        <v>410</v>
      </c>
      <c r="C241" s="59" t="s">
        <v>197</v>
      </c>
      <c r="D241" s="59" t="s">
        <v>419</v>
      </c>
      <c r="E241" s="60">
        <f>S171</f>
        <v>25837923.104000002</v>
      </c>
      <c r="F241" s="61">
        <f>S174</f>
        <v>1.0722243381748862</v>
      </c>
      <c r="G241" s="62">
        <f>S179</f>
        <v>6.4700093209476597</v>
      </c>
      <c r="H241" s="63">
        <f>S129</f>
        <v>9</v>
      </c>
    </row>
    <row r="242" spans="1:8" x14ac:dyDescent="0.2">
      <c r="B242" s="55" t="s">
        <v>410</v>
      </c>
      <c r="C242" s="55" t="s">
        <v>751</v>
      </c>
      <c r="D242" s="55" t="s">
        <v>420</v>
      </c>
      <c r="E242" s="56">
        <f>T171</f>
        <v>26161923.104000002</v>
      </c>
      <c r="F242" s="64">
        <f>T174</f>
        <v>0.8682255470939404</v>
      </c>
      <c r="G242" s="65">
        <f>T179</f>
        <v>8.005364942932804</v>
      </c>
      <c r="H242" s="66">
        <f>T129</f>
        <v>9</v>
      </c>
    </row>
    <row r="243" spans="1:8" x14ac:dyDescent="0.2">
      <c r="B243" s="55" t="s">
        <v>410</v>
      </c>
      <c r="C243" s="55" t="s">
        <v>751</v>
      </c>
      <c r="D243" s="55" t="s">
        <v>421</v>
      </c>
      <c r="E243" s="56">
        <f>U171</f>
        <v>25513923.104000002</v>
      </c>
      <c r="F243" s="64">
        <f>U174</f>
        <v>1.2814042696113002</v>
      </c>
      <c r="G243" s="65">
        <f>U179</f>
        <v>5.4032957998877462</v>
      </c>
      <c r="H243" s="66">
        <f>U129</f>
        <v>9</v>
      </c>
    </row>
    <row r="244" spans="1:8" x14ac:dyDescent="0.2">
      <c r="B244" s="55" t="s">
        <v>410</v>
      </c>
      <c r="C244" s="55" t="s">
        <v>752</v>
      </c>
      <c r="D244" s="55" t="s">
        <v>422</v>
      </c>
      <c r="E244" s="56">
        <f>V171</f>
        <v>19810814.0832</v>
      </c>
      <c r="F244" s="64">
        <f>V174</f>
        <v>1.258451565659888</v>
      </c>
      <c r="G244" s="65">
        <f>V179</f>
        <v>5.5046317361512491</v>
      </c>
      <c r="H244" s="66">
        <f>V129</f>
        <v>8</v>
      </c>
    </row>
    <row r="245" spans="1:8" x14ac:dyDescent="0.2">
      <c r="B245" s="55" t="s">
        <v>410</v>
      </c>
      <c r="C245" s="55" t="s">
        <v>752</v>
      </c>
      <c r="D245" s="55" t="s">
        <v>423</v>
      </c>
      <c r="E245" s="56">
        <f>W171</f>
        <v>31596264.124800004</v>
      </c>
      <c r="F245" s="64">
        <f>W174</f>
        <v>1.0523126996492804</v>
      </c>
      <c r="G245" s="65">
        <f>W179</f>
        <v>6.5924647358985125</v>
      </c>
      <c r="H245" s="66">
        <f>W129</f>
        <v>11</v>
      </c>
    </row>
    <row r="246" spans="1:8" x14ac:dyDescent="0.2">
      <c r="B246" s="55" t="s">
        <v>410</v>
      </c>
      <c r="C246" s="55" t="s">
        <v>753</v>
      </c>
      <c r="D246" s="55" t="s">
        <v>424</v>
      </c>
      <c r="E246" s="56">
        <f>X171</f>
        <v>20186536.0832</v>
      </c>
      <c r="F246" s="64">
        <f>X174</f>
        <v>1.3724023718490443</v>
      </c>
      <c r="G246" s="65">
        <f>X179</f>
        <v>5.0420697545088169</v>
      </c>
      <c r="H246" s="66">
        <f>X129</f>
        <v>9</v>
      </c>
    </row>
    <row r="247" spans="1:8" x14ac:dyDescent="0.2">
      <c r="B247" s="55" t="s">
        <v>410</v>
      </c>
      <c r="C247" s="55" t="s">
        <v>753</v>
      </c>
      <c r="D247" s="55" t="s">
        <v>425</v>
      </c>
      <c r="E247" s="56">
        <f>Y171</f>
        <v>31489310.124800004</v>
      </c>
      <c r="F247" s="64">
        <f>Y174</f>
        <v>0.87979221806390573</v>
      </c>
      <c r="G247" s="65">
        <f>Y179</f>
        <v>7.8979488873865025</v>
      </c>
      <c r="H247" s="66">
        <f>Y129</f>
        <v>9</v>
      </c>
    </row>
    <row r="249" spans="1:8" ht="18" customHeight="1" x14ac:dyDescent="0.2">
      <c r="A249" s="18" t="s">
        <v>754</v>
      </c>
      <c r="B249" s="18"/>
      <c r="C249" s="18"/>
      <c r="D249" s="18"/>
      <c r="E249" s="18"/>
      <c r="F249" s="18"/>
      <c r="G249" s="18"/>
      <c r="H249" s="18"/>
    </row>
    <row r="250" spans="1:8" ht="60" customHeight="1" x14ac:dyDescent="0.2">
      <c r="B250" s="1" t="str">
        <f>E78&amp;" — "&amp;E87&amp;": "&amp;E112&amp;". Роботов: "&amp;E129&amp;"; CAPEX "&amp;TEXT(E150/1000000,"0.0")&amp;" млн руб. ("&amp;E151&amp;"); чистый годовой эффект "&amp;TEXT(E171/1000000,"0.0")&amp;" млн руб.; окупаемость "&amp;IF(ISNUMBER(E174),TEXT(E174,"0.0")&amp;" лет",E174)&amp;"; ROI за горизонт "&amp;IF(ISNUMBER(E179),TEXT(E179,"0%"),"—")&amp;". "&amp;E184&amp;". "&amp;IF(E185="","","Риски: "&amp;E185)</f>
        <v xml:space="preserve">Покупка A — Ronavi M (AMR для стеллажей/тележек, до 1200 кг): Применимо: все ключевые ограничения выполнены. Роботов: 9; CAPEX 36.0 млн руб. (Превышает бюджет); чистый годовой эффект 25.3 млн руб.; окупаемость 1.4 лет; ROI за горизонт 486%. Высокая целесообразность (окупаемость до 2 лет). Риски: Зрелость: статус «piloting»; ТТХ требуют подтверждения; CAPEX выше планового бюджета; </v>
      </c>
      <c r="C250" s="1"/>
      <c r="D250" s="1"/>
      <c r="E250" s="1"/>
      <c r="F250" s="1"/>
      <c r="G250" s="1"/>
      <c r="H250" s="1"/>
    </row>
    <row r="251" spans="1:8" ht="60" customHeight="1" x14ac:dyDescent="0.2">
      <c r="B251" s="1" t="str">
        <f>L78&amp;" — "&amp;L87&amp;": "&amp;L112&amp;". Роботов: "&amp;L129&amp;"; CAPEX "&amp;TEXT(L150/1000000,"0.0")&amp;" млн руб. ("&amp;L151&amp;"); чистый годовой эффект "&amp;TEXT(L171/1000000,"0.0")&amp;" млн руб.; окупаемость "&amp;IF(ISNUMBER(L174),TEXT(L174,"0.0")&amp;" лет",L174)&amp;"; ROI за горизонт "&amp;IF(ISNUMBER(L179),TEXT(L179,"0%"),"—")&amp;". "&amp;L184&amp;". "&amp;IF(L185="","","Риски: "&amp;L185)</f>
        <v xml:space="preserve">RaaS A — Ronavi M (AMR для стеллажей/тележек, до 1200 кг): Применимо: все ключевые ограничения выполнены. Роботов: 9; CAPEX 8.7 млн руб. (В бюджете); чистый годовой эффект 22.3 млн руб.; окупаемость 0.4 лет; ROI за горизонт 1794%. Высокая целесообразность (окупаемость до 2 лет). Риски: Зрелость: статус «piloting»; ТТХ требуют подтверждения; </v>
      </c>
      <c r="C251" s="1"/>
      <c r="D251" s="1"/>
      <c r="E251" s="1"/>
      <c r="F251" s="1"/>
      <c r="G251" s="1"/>
      <c r="H251" s="1"/>
    </row>
    <row r="252" spans="1:8" ht="60" customHeight="1" x14ac:dyDescent="0.2">
      <c r="B252" s="1" t="str">
        <f>S78&amp;" — "&amp;S87&amp;": "&amp;S112&amp;". Роботов: "&amp;S129&amp;"; CAPEX "&amp;TEXT(S150/1000000,"0.0")&amp;" млн руб. ("&amp;S151&amp;"); чистый годовой эффект "&amp;TEXT(S171/1000000,"0.0")&amp;" млн руб.; окупаемость "&amp;IF(ISNUMBER(S174),TEXT(S174,"0.0")&amp;" лет",S174)&amp;"; ROI за горизонт "&amp;IF(ISNUMBER(S179),TEXT(S179,"0%"),"—")&amp;". "&amp;S184&amp;". "&amp;IF(S185="","","Риски: "&amp;S185)</f>
        <v xml:space="preserve">Покупка B — AMR 800 (Морос, до 800 кг): Применимо: все ключевые ограничения выполнены. Роботов: 9; CAPEX 27.7 млн руб. (В бюджете); чистый годовой эффект 25.8 млн руб.; окупаемость 1.1 лет; ROI за горизонт 647%. Высокая целесообразность (окупаемость до 2 лет). Риски: ТТХ требуют подтверждения; </v>
      </c>
      <c r="C252" s="1"/>
      <c r="D252" s="1"/>
      <c r="E252" s="1"/>
      <c r="F252" s="1"/>
      <c r="G252" s="1"/>
      <c r="H252" s="1"/>
    </row>
  </sheetData>
  <mergeCells count="3">
    <mergeCell ref="B250:H250"/>
    <mergeCell ref="B251:H251"/>
    <mergeCell ref="B252:H25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2" customWidth="1"/>
    <col min="3" max="3" width="34" customWidth="1"/>
    <col min="4" max="4" width="9" customWidth="1"/>
    <col min="5" max="5" width="16" customWidth="1"/>
    <col min="6" max="7" width="18" customWidth="1"/>
    <col min="8" max="9" width="12" customWidth="1"/>
    <col min="10" max="11" width="16" customWidth="1"/>
    <col min="12" max="13" width="40" customWidth="1"/>
  </cols>
  <sheetData>
    <row r="1" spans="1:13" ht="18" x14ac:dyDescent="0.2">
      <c r="A1" s="2" t="s">
        <v>1072</v>
      </c>
    </row>
    <row r="3" spans="1:13" ht="30" customHeight="1" x14ac:dyDescent="0.2">
      <c r="A3" s="5" t="s">
        <v>1073</v>
      </c>
      <c r="B3" s="5" t="s">
        <v>407</v>
      </c>
      <c r="C3" s="5" t="s">
        <v>713</v>
      </c>
      <c r="D3" s="5" t="s">
        <v>1074</v>
      </c>
      <c r="E3" s="5" t="s">
        <v>1075</v>
      </c>
      <c r="F3" s="5" t="s">
        <v>1076</v>
      </c>
      <c r="G3" s="5" t="s">
        <v>748</v>
      </c>
      <c r="H3" s="5" t="s">
        <v>1077</v>
      </c>
      <c r="I3" s="5" t="s">
        <v>727</v>
      </c>
      <c r="J3" s="5" t="s">
        <v>1078</v>
      </c>
      <c r="K3" s="5" t="s">
        <v>1079</v>
      </c>
      <c r="L3" s="5" t="s">
        <v>730</v>
      </c>
      <c r="M3" s="5" t="s">
        <v>1080</v>
      </c>
    </row>
    <row r="4" spans="1:13" x14ac:dyDescent="0.2">
      <c r="A4" s="69" t="s">
        <v>1081</v>
      </c>
      <c r="B4" s="55" t="s">
        <v>712</v>
      </c>
      <c r="C4" s="70" t="s">
        <v>197</v>
      </c>
      <c r="D4" s="70">
        <v>0</v>
      </c>
      <c r="E4" s="56">
        <v>0</v>
      </c>
      <c r="F4" s="56">
        <f>Склад!D180</f>
        <v>46872000</v>
      </c>
      <c r="G4" s="70"/>
      <c r="H4" s="70"/>
      <c r="I4" s="70"/>
      <c r="J4" s="70"/>
      <c r="K4" s="70"/>
      <c r="L4" s="70"/>
      <c r="M4" s="70"/>
    </row>
    <row r="5" spans="1:13" ht="42" x14ac:dyDescent="0.2">
      <c r="A5" s="69" t="s">
        <v>1081</v>
      </c>
      <c r="B5" s="55" t="s">
        <v>408</v>
      </c>
      <c r="C5" s="71" t="str">
        <f>Склад!E173</f>
        <v>Ronavi H1500 (AMR, до 1500 кг)</v>
      </c>
      <c r="D5" s="72">
        <f>Склад!E176</f>
        <v>12</v>
      </c>
      <c r="E5" s="73">
        <f>Склад!E178</f>
        <v>46339150</v>
      </c>
      <c r="F5" s="73">
        <f>Склад!E180</f>
        <v>31382572</v>
      </c>
      <c r="G5" s="73">
        <f>Склад!E184</f>
        <v>15489428</v>
      </c>
      <c r="H5" s="74">
        <f>Склад!E186</f>
        <v>2.9916630878816184</v>
      </c>
      <c r="I5" s="75">
        <f>Склад!E187</f>
        <v>1.601391911590955</v>
      </c>
      <c r="J5" s="73">
        <f>Склад!E206</f>
        <v>10165005.13272192</v>
      </c>
      <c r="K5" s="73">
        <f>Склад!E188</f>
        <v>89312010</v>
      </c>
      <c r="L5" s="71" t="str">
        <f>Склад!E190</f>
        <v>Средняя целесообразность (2–4 лет) — рекомендован пилот</v>
      </c>
      <c r="M5" s="71" t="str">
        <f>Склад!E191</f>
        <v/>
      </c>
    </row>
    <row r="6" spans="1:13" ht="28" x14ac:dyDescent="0.2">
      <c r="A6" s="69" t="s">
        <v>1081</v>
      </c>
      <c r="B6" s="55" t="s">
        <v>409</v>
      </c>
      <c r="C6" s="71" t="str">
        <f>Склад!F173</f>
        <v>DMR Carrier P (FMR, вилочный AMR)</v>
      </c>
      <c r="D6" s="72">
        <f>Склад!F176</f>
        <v>15</v>
      </c>
      <c r="E6" s="73">
        <f>Склад!F178</f>
        <v>10643050</v>
      </c>
      <c r="F6" s="73">
        <f>Склад!F180</f>
        <v>43675570</v>
      </c>
      <c r="G6" s="73">
        <f>Склад!F184</f>
        <v>3196430</v>
      </c>
      <c r="H6" s="74">
        <f>Склад!F186</f>
        <v>3.3296677856233359</v>
      </c>
      <c r="I6" s="75">
        <f>Склад!F187</f>
        <v>1.5016513123587694</v>
      </c>
      <c r="J6" s="73">
        <f>Склад!H206</f>
        <v>1473934.5533402434</v>
      </c>
      <c r="K6" s="73">
        <f>Склад!F188</f>
        <v>111840900</v>
      </c>
      <c r="L6" s="71" t="str">
        <f>Склад!F190</f>
        <v>Средняя целесообразность (2–4 лет) — рекомендован пилот</v>
      </c>
      <c r="M6" s="71" t="str">
        <f>Склад!F191</f>
        <v xml:space="preserve">Зрелость: статус «piloting»; ТТХ требуют подтверждения; </v>
      </c>
    </row>
    <row r="7" spans="1:13" ht="28" x14ac:dyDescent="0.2">
      <c r="A7" s="69" t="s">
        <v>1081</v>
      </c>
      <c r="B7" s="55" t="s">
        <v>410</v>
      </c>
      <c r="C7" s="71" t="str">
        <f>Склад!G173</f>
        <v>Ronavi H1500 (AMR, до 1500 кг)</v>
      </c>
      <c r="D7" s="72">
        <f>Склад!G176</f>
        <v>12</v>
      </c>
      <c r="E7" s="73">
        <f>Склад!G178</f>
        <v>46339150</v>
      </c>
      <c r="F7" s="73">
        <f>Склад!G180</f>
        <v>54818572</v>
      </c>
      <c r="G7" s="73">
        <f>Склад!G184</f>
        <v>-7946572</v>
      </c>
      <c r="H7" s="74" t="str">
        <f>Склад!G186</f>
        <v>не окупается</v>
      </c>
      <c r="I7" s="75">
        <f>Склад!G187</f>
        <v>-0.92735537876719798</v>
      </c>
      <c r="J7" s="73">
        <f>Склад!K206</f>
        <v>-78675873.595134452</v>
      </c>
      <c r="K7" s="73">
        <f>Склад!G188</f>
        <v>89312010</v>
      </c>
      <c r="L7" s="71" t="str">
        <f>Склад!G190</f>
        <v>Не окупается: годовой эффект ≤ 0</v>
      </c>
      <c r="M7" s="71" t="str">
        <f>Склад!G191</f>
        <v/>
      </c>
    </row>
    <row r="9" spans="1:13" x14ac:dyDescent="0.2">
      <c r="A9" s="69" t="s">
        <v>1082</v>
      </c>
      <c r="B9" s="55" t="s">
        <v>712</v>
      </c>
      <c r="C9" s="70" t="s">
        <v>197</v>
      </c>
      <c r="D9" s="70">
        <v>0</v>
      </c>
      <c r="E9" s="56">
        <v>0</v>
      </c>
      <c r="F9" s="56">
        <f>Аэропорт!D180</f>
        <v>99993600</v>
      </c>
      <c r="G9" s="70"/>
      <c r="H9" s="70"/>
      <c r="I9" s="70"/>
      <c r="J9" s="70"/>
      <c r="K9" s="70"/>
      <c r="L9" s="70"/>
      <c r="M9" s="70"/>
    </row>
    <row r="10" spans="1:13" ht="56" x14ac:dyDescent="0.2">
      <c r="A10" s="69" t="s">
        <v>1082</v>
      </c>
      <c r="B10" s="55" t="s">
        <v>408</v>
      </c>
      <c r="C10" s="71" t="str">
        <f>Аэропорт!E173</f>
        <v>Беспилотный тягач (Cognitive Pilot)</v>
      </c>
      <c r="D10" s="72">
        <f>Аэропорт!E176</f>
        <v>17</v>
      </c>
      <c r="E10" s="73">
        <f>Аэропорт!E178</f>
        <v>104290450</v>
      </c>
      <c r="F10" s="73">
        <f>Аэропорт!E180</f>
        <v>40836012</v>
      </c>
      <c r="G10" s="73">
        <f>Аэропорт!E184</f>
        <v>60770388</v>
      </c>
      <c r="H10" s="74">
        <f>Аэропорт!E186</f>
        <v>1.7161392815198087</v>
      </c>
      <c r="I10" s="75">
        <f>Аэропорт!E187</f>
        <v>4.0137204892681932</v>
      </c>
      <c r="J10" s="73">
        <f>Аэропорт!E206</f>
        <v>186920759.0012182</v>
      </c>
      <c r="K10" s="73">
        <f>Аэропорт!E188</f>
        <v>200955078</v>
      </c>
      <c r="L10" s="71" t="str">
        <f>Аэропорт!E190</f>
        <v>Высокая целесообразность (окупаемость до 2 лет)</v>
      </c>
      <c r="M10" s="71" t="str">
        <f>Аэропорт!E191</f>
        <v xml:space="preserve">низкая среднесуточная загрузка парка (парк рассчитан на пик) — рассмотреть частичную роботизацию или RaaS; </v>
      </c>
    </row>
    <row r="11" spans="1:13" ht="42" x14ac:dyDescent="0.2">
      <c r="A11" s="69" t="s">
        <v>1082</v>
      </c>
      <c r="B11" s="55" t="s">
        <v>409</v>
      </c>
      <c r="C11" s="71" t="str">
        <f>Аэропорт!F173</f>
        <v>Беспилотный тягач (Cognitive Pilot)</v>
      </c>
      <c r="D11" s="72">
        <f>Аэропорт!F176</f>
        <v>17</v>
      </c>
      <c r="E11" s="73">
        <f>Аэропорт!F178</f>
        <v>18260550</v>
      </c>
      <c r="F11" s="73">
        <f>Аэропорт!F180</f>
        <v>50356012</v>
      </c>
      <c r="G11" s="73">
        <f>Аэропорт!F184</f>
        <v>51250388</v>
      </c>
      <c r="H11" s="74">
        <f>Аэропорт!F186</f>
        <v>0.35630071717700945</v>
      </c>
      <c r="I11" s="75">
        <f>Аэропорт!F187</f>
        <v>19.64632587736952</v>
      </c>
      <c r="J11" s="73">
        <f>Аэропорт!H206</f>
        <v>231247803.35326394</v>
      </c>
      <c r="K11" s="73">
        <f>Аэропорт!F188</f>
        <v>174765178</v>
      </c>
      <c r="L11" s="71" t="str">
        <f>Аэропорт!F190</f>
        <v>Высокая целесообразность (окупаемость до 2 лет)</v>
      </c>
      <c r="M11" s="71" t="str">
        <f>Аэропорт!F191</f>
        <v xml:space="preserve">низкая среднесуточная загрузка парка (парк рассчитан на пик) — рассмотреть частичную роботизацию или RaaS; </v>
      </c>
    </row>
    <row r="12" spans="1:13" ht="56" x14ac:dyDescent="0.2">
      <c r="A12" s="69" t="s">
        <v>1082</v>
      </c>
      <c r="B12" s="55" t="s">
        <v>410</v>
      </c>
      <c r="C12" s="71" t="str">
        <f>Аэропорт!G173</f>
        <v>EVOCARGO N1 (беспилотный электрогрузовик)</v>
      </c>
      <c r="D12" s="72">
        <f>Аэропорт!G176</f>
        <v>39</v>
      </c>
      <c r="E12" s="73">
        <f>Аэропорт!G178</f>
        <v>350812550</v>
      </c>
      <c r="F12" s="73">
        <f>Аэропорт!G180</f>
        <v>57667276</v>
      </c>
      <c r="G12" s="73">
        <f>Аэропорт!G184</f>
        <v>43939124</v>
      </c>
      <c r="H12" s="74">
        <f>Аэропорт!G186</f>
        <v>7.9840588082730095</v>
      </c>
      <c r="I12" s="75">
        <f>Аэропорт!G187</f>
        <v>0.81004476037131512</v>
      </c>
      <c r="J12" s="73">
        <f>Аэропорт!K206</f>
        <v>-152881006.74099952</v>
      </c>
      <c r="K12" s="73">
        <f>Аэропорт!G188</f>
        <v>581896026</v>
      </c>
      <c r="L12" s="71" t="str">
        <f>Аэропорт!G190</f>
        <v>Низкая целесообразность (более 4 лет) — требует уточнения данных</v>
      </c>
      <c r="M12" s="71" t="str">
        <f>Аэропорт!G191</f>
        <v xml:space="preserve">CAPEX выше планового бюджета; низкая среднесуточная загрузка парка (парк рассчитан на пик) — рассмотреть частичную роботизацию или RaaS; </v>
      </c>
    </row>
    <row r="14" spans="1:13" x14ac:dyDescent="0.2">
      <c r="A14" s="69" t="s">
        <v>1083</v>
      </c>
      <c r="B14" s="55" t="s">
        <v>712</v>
      </c>
      <c r="C14" s="70" t="s">
        <v>197</v>
      </c>
      <c r="D14" s="70">
        <v>0</v>
      </c>
      <c r="E14" s="56">
        <v>0</v>
      </c>
      <c r="F14" s="56">
        <f>Медучреждение!D196</f>
        <v>42486343.200000003</v>
      </c>
      <c r="G14" s="70"/>
      <c r="H14" s="70"/>
      <c r="I14" s="70"/>
      <c r="J14" s="70"/>
      <c r="K14" s="70"/>
      <c r="L14" s="70"/>
      <c r="M14" s="70"/>
    </row>
    <row r="15" spans="1:13" ht="42" x14ac:dyDescent="0.2">
      <c r="A15" s="69" t="s">
        <v>1083</v>
      </c>
      <c r="B15" s="55" t="s">
        <v>408</v>
      </c>
      <c r="C15" s="71" t="str">
        <f>Медучреждение!E189</f>
        <v>Ronavi M (AMR для стеллажей/тележек, до 1200 кг)</v>
      </c>
      <c r="D15" s="72">
        <f>Медучреждение!E192</f>
        <v>9</v>
      </c>
      <c r="E15" s="73">
        <f>Медучреждение!E194</f>
        <v>36020050</v>
      </c>
      <c r="F15" s="73">
        <f>Медучреждение!E196</f>
        <v>18077638.096000001</v>
      </c>
      <c r="G15" s="73">
        <f>Медучреждение!E200</f>
        <v>25297923.104000002</v>
      </c>
      <c r="H15" s="74">
        <f>Медучреждение!E202</f>
        <v>1.4238342749292594</v>
      </c>
      <c r="I15" s="75">
        <f>Медучреждение!E203</f>
        <v>4.8563358942588923</v>
      </c>
      <c r="J15" s="73">
        <f>Медучреждение!E222</f>
        <v>85665525.824473828</v>
      </c>
      <c r="K15" s="73">
        <f>Медучреждение!E204</f>
        <v>81450284</v>
      </c>
      <c r="L15" s="71" t="str">
        <f>Медучреждение!E206</f>
        <v>Высокая целесообразность (окупаемость до 2 лет)</v>
      </c>
      <c r="M15" s="71" t="str">
        <f>Медучреждение!E207</f>
        <v xml:space="preserve">Зрелость: статус «piloting»; ТТХ требуют подтверждения; CAPEX выше планового бюджета; </v>
      </c>
    </row>
    <row r="16" spans="1:13" ht="28" x14ac:dyDescent="0.2">
      <c r="A16" s="69" t="s">
        <v>1083</v>
      </c>
      <c r="B16" s="55" t="s">
        <v>409</v>
      </c>
      <c r="C16" s="71" t="str">
        <f>Медучреждение!F189</f>
        <v>Ronavi M (AMR для стеллажей/тележек, до 1200 кг)</v>
      </c>
      <c r="D16" s="72">
        <f>Медучреждение!F192</f>
        <v>9</v>
      </c>
      <c r="E16" s="73">
        <f>Медучреждение!F194</f>
        <v>8690550</v>
      </c>
      <c r="F16" s="73">
        <f>Медучреждение!F196</f>
        <v>21101638.096000001</v>
      </c>
      <c r="G16" s="73">
        <f>Медучреждение!F200</f>
        <v>22273923.104000002</v>
      </c>
      <c r="H16" s="74">
        <f>Медучреждение!F202</f>
        <v>0.39016701096715789</v>
      </c>
      <c r="I16" s="75">
        <f>Медучреждение!F203</f>
        <v>17.941035001006842</v>
      </c>
      <c r="J16" s="73">
        <f>Медучреждение!H222</f>
        <v>99748236.383358955</v>
      </c>
      <c r="K16" s="73">
        <f>Медучреждение!F204</f>
        <v>73128784</v>
      </c>
      <c r="L16" s="71" t="str">
        <f>Медучреждение!F206</f>
        <v>Высокая целесообразность (окупаемость до 2 лет)</v>
      </c>
      <c r="M16" s="71" t="str">
        <f>Медучреждение!F207</f>
        <v xml:space="preserve">Зрелость: статус «piloting»; ТТХ требуют подтверждения; </v>
      </c>
    </row>
    <row r="17" spans="1:13" ht="28" x14ac:dyDescent="0.2">
      <c r="A17" s="69" t="s">
        <v>1083</v>
      </c>
      <c r="B17" s="55" t="s">
        <v>410</v>
      </c>
      <c r="C17" s="71" t="str">
        <f>Медучреждение!G189</f>
        <v>AMR 800 (Морос, до 800 кг)</v>
      </c>
      <c r="D17" s="72">
        <f>Медучреждение!G192</f>
        <v>9</v>
      </c>
      <c r="E17" s="73">
        <f>Медучреждение!G194</f>
        <v>27704050</v>
      </c>
      <c r="F17" s="73">
        <f>Медучреждение!G196</f>
        <v>17537638.096000001</v>
      </c>
      <c r="G17" s="73">
        <f>Медучреждение!G200</f>
        <v>25837923.104000002</v>
      </c>
      <c r="H17" s="74">
        <f>Медучреждение!G202</f>
        <v>1.0722243381748862</v>
      </c>
      <c r="I17" s="75">
        <f>Медучреждение!G203</f>
        <v>6.4700093209476597</v>
      </c>
      <c r="J17" s="73">
        <f>Медучреждение!K222</f>
        <v>96979299.251925141</v>
      </c>
      <c r="K17" s="73">
        <f>Медучреждение!G204</f>
        <v>68814284</v>
      </c>
      <c r="L17" s="71" t="str">
        <f>Медучреждение!G206</f>
        <v>Высокая целесообразность (окупаемость до 2 лет)</v>
      </c>
      <c r="M17" s="71" t="str">
        <f>Медучреждение!G207</f>
        <v xml:space="preserve">ТТХ требуют подтверждения; </v>
      </c>
    </row>
    <row r="20" spans="1:13" x14ac:dyDescent="0.2">
      <c r="A20" s="17" t="s">
        <v>1084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234</vt:i4>
      </vt:variant>
    </vt:vector>
  </HeadingPairs>
  <TitlesOfParts>
    <vt:vector size="241" baseType="lpstr">
      <vt:lpstr>Легенда</vt:lpstr>
      <vt:lpstr>Каталог</vt:lpstr>
      <vt:lpstr>Нормативы</vt:lpstr>
      <vt:lpstr>Склад</vt:lpstr>
      <vt:lpstr>Аэропорт</vt:lpstr>
      <vt:lpstr>Медучреждение</vt:lpstr>
      <vt:lpstr>Сравнение</vt:lpstr>
      <vt:lpstr>Aer_aisle</vt:lpstr>
      <vt:lpstr>Aer_auto_share</vt:lpstr>
      <vt:lpstr>Aer_bag_mass</vt:lpstr>
      <vt:lpstr>Aer_bags_day</vt:lpstr>
      <vt:lpstr>Aer_base_labor</vt:lpstr>
      <vt:lpstr>Aer_budget</vt:lpstr>
      <vt:lpstr>Aer_clearance</vt:lpstr>
      <vt:lpstr>Aer_consum_per_robot</vt:lpstr>
      <vt:lpstr>Aer_divisible</vt:lpstr>
      <vt:lpstr>Aer_driver_share</vt:lpstr>
      <vt:lpstr>Aer_fleet_per_shift</vt:lpstr>
      <vt:lpstr>Aer_fleet_sal</vt:lpstr>
      <vt:lpstr>Aer_flights_day</vt:lpstr>
      <vt:lpstr>Aer_flights_peak_h</vt:lpstr>
      <vt:lpstr>Aer_fte_target</vt:lpstr>
      <vt:lpstr>Aer_gates</vt:lpstr>
      <vt:lpstr>Aer_handling_req</vt:lpstr>
      <vt:lpstr>Aer_horizon</vt:lpstr>
      <vt:lpstr>Aer_hours_day</vt:lpstr>
      <vt:lpstr>Aer_indoor_req</vt:lpstr>
      <vt:lpstr>Aer_integration</vt:lpstr>
      <vt:lpstr>Aer_L</vt:lpstr>
      <vt:lpstr>Aer_labor_target</vt:lpstr>
      <vt:lpstr>Aer_lift_share</vt:lpstr>
      <vt:lpstr>Aer_lift_time</vt:lpstr>
      <vt:lpstr>Aer_loss_k</vt:lpstr>
      <vt:lpstr>Aer_noise</vt:lpstr>
      <vt:lpstr>Aer_ops_day</vt:lpstr>
      <vt:lpstr>Aer_other_effects</vt:lpstr>
      <vt:lpstr>Aer_outdoor_req</vt:lpstr>
      <vt:lpstr>Aer_peak_ops_h</vt:lpstr>
      <vt:lpstr>Aer_power_kw</vt:lpstr>
      <vt:lpstr>Aer_ramp_staff</vt:lpstr>
      <vt:lpstr>Aer_repl_body</vt:lpstr>
      <vt:lpstr>Aer_repl_forks</vt:lpstr>
      <vt:lpstr>Aer_repl_platform</vt:lpstr>
      <vt:lpstr>Aer_repl_tow</vt:lpstr>
      <vt:lpstr>Aer_S_apron</vt:lpstr>
      <vt:lpstr>Aer_S_terminal</vt:lpstr>
      <vt:lpstr>Aer_sal_ramp</vt:lpstr>
      <vt:lpstr>Aer_sal_target</vt:lpstr>
      <vt:lpstr>Aer_shift_h</vt:lpstr>
      <vt:lpstr>Aer_shifts</vt:lpstr>
      <vt:lpstr>Aer_site_pct</vt:lpstr>
      <vt:lpstr>Aer_speed_cap</vt:lpstr>
      <vt:lpstr>Aer_task_class</vt:lpstr>
      <vt:lpstr>Aer_temp_min</vt:lpstr>
      <vt:lpstr>Aer_temp_min_ds</vt:lpstr>
      <vt:lpstr>Aer_turnover</vt:lpstr>
      <vt:lpstr>Aer_turnover_ds</vt:lpstr>
      <vt:lpstr>Aer_unit_mass</vt:lpstr>
      <vt:lpstr>Cat_auton</vt:lpstr>
      <vt:lpstr>Cat_cap</vt:lpstr>
      <vt:lpstr>Cat_charge</vt:lpstr>
      <vt:lpstr>Cat_code</vt:lpstr>
      <vt:lpstr>Cat_conf</vt:lpstr>
      <vt:lpstr>Cat_date</vt:lpstr>
      <vt:lpstr>Cat_handling</vt:lpstr>
      <vt:lpstr>Cat_hgt</vt:lpstr>
      <vt:lpstr>Cat_indoor</vt:lpstr>
      <vt:lpstr>Cat_len</vt:lpstr>
      <vt:lpstr>Cat_mp</vt:lpstr>
      <vt:lpstr>Cat_name</vt:lpstr>
      <vt:lpstr>Cat_nav</vt:lpstr>
      <vt:lpstr>Cat_note</vt:lpstr>
      <vt:lpstr>Cat_outdoor</vt:lpstr>
      <vt:lpstr>Cat_power</vt:lpstr>
      <vt:lpstr>Cat_price</vt:lpstr>
      <vt:lpstr>Cat_proc</vt:lpstr>
      <vt:lpstr>Cat_prod_decl</vt:lpstr>
      <vt:lpstr>Cat_repl</vt:lpstr>
      <vt:lpstr>Cat_src</vt:lpstr>
      <vt:lpstr>Cat_status</vt:lpstr>
      <vt:lpstr>Cat_subtype</vt:lpstr>
      <vt:lpstr>Cat_task</vt:lpstr>
      <vt:lpstr>Cat_tload</vt:lpstr>
      <vt:lpstr>Cat_tmax</vt:lpstr>
      <vt:lpstr>Cat_tmin</vt:lpstr>
      <vt:lpstr>Cat_tunload</vt:lpstr>
      <vt:lpstr>Cat_type</vt:lpstr>
      <vt:lpstr>Cat_ugt</vt:lpstr>
      <vt:lpstr>Cat_vendor</vt:lpstr>
      <vt:lpstr>Cat_vmax</vt:lpstr>
      <vt:lpstr>Cat_wid</vt:lpstr>
      <vt:lpstr>Med_aisle</vt:lpstr>
      <vt:lpstr>Med_auto_share</vt:lpstr>
      <vt:lpstr>Med_base_labor</vt:lpstr>
      <vt:lpstr>Med_beds</vt:lpstr>
      <vt:lpstr>Med_budget</vt:lpstr>
      <vt:lpstr>Med_cart_mass</vt:lpstr>
      <vt:lpstr>Med_clearance</vt:lpstr>
      <vt:lpstr>Med_consum_per_robot</vt:lpstr>
      <vt:lpstr>Med_corridor</vt:lpstr>
      <vt:lpstr>Med_divisible</vt:lpstr>
      <vt:lpstr>Med_feedings</vt:lpstr>
      <vt:lpstr>Med_fleet_per_shift</vt:lpstr>
      <vt:lpstr>Med_fleet_sal</vt:lpstr>
      <vt:lpstr>Med_floors</vt:lpstr>
      <vt:lpstr>Med_food_points</vt:lpstr>
      <vt:lpstr>Med_fte_target</vt:lpstr>
      <vt:lpstr>Med_handling_req</vt:lpstr>
      <vt:lpstr>Med_horizon</vt:lpstr>
      <vt:lpstr>Med_hours_day</vt:lpstr>
      <vt:lpstr>Med_indoor_req</vt:lpstr>
      <vt:lpstr>Med_integration</vt:lpstr>
      <vt:lpstr>Med_kitchen</vt:lpstr>
      <vt:lpstr>Med_L</vt:lpstr>
      <vt:lpstr>Med_L_food</vt:lpstr>
      <vt:lpstr>Med_labor_target</vt:lpstr>
      <vt:lpstr>Med_laundry</vt:lpstr>
      <vt:lpstr>Med_lift_share</vt:lpstr>
      <vt:lpstr>Med_lift_time</vt:lpstr>
      <vt:lpstr>Med_lifts</vt:lpstr>
      <vt:lpstr>Med_linen_freq</vt:lpstr>
      <vt:lpstr>Med_linen_mass</vt:lpstr>
      <vt:lpstr>Med_linen_points</vt:lpstr>
      <vt:lpstr>Med_loss_k</vt:lpstr>
      <vt:lpstr>Med_noise</vt:lpstr>
      <vt:lpstr>Med_ops_day</vt:lpstr>
      <vt:lpstr>Med_ops_food</vt:lpstr>
      <vt:lpstr>Med_ops_linen</vt:lpstr>
      <vt:lpstr>Med_ops_supplies</vt:lpstr>
      <vt:lpstr>Med_ops_waste</vt:lpstr>
      <vt:lpstr>Med_orderlies</vt:lpstr>
      <vt:lpstr>Med_other_effects</vt:lpstr>
      <vt:lpstr>Med_outdoor_req</vt:lpstr>
      <vt:lpstr>Med_peak_k</vt:lpstr>
      <vt:lpstr>Med_peak_ops_h</vt:lpstr>
      <vt:lpstr>Med_power_kw</vt:lpstr>
      <vt:lpstr>Med_repl_body</vt:lpstr>
      <vt:lpstr>Med_repl_forks</vt:lpstr>
      <vt:lpstr>Med_repl_platform</vt:lpstr>
      <vt:lpstr>Med_repl_tow</vt:lpstr>
      <vt:lpstr>Med_S_total</vt:lpstr>
      <vt:lpstr>Med_sal_kitchen</vt:lpstr>
      <vt:lpstr>Med_sal_orderly</vt:lpstr>
      <vt:lpstr>Med_sal_target</vt:lpstr>
      <vt:lpstr>Med_share_kitchen</vt:lpstr>
      <vt:lpstr>Med_share_laundry</vt:lpstr>
      <vt:lpstr>Med_share_orderly</vt:lpstr>
      <vt:lpstr>Med_shifts</vt:lpstr>
      <vt:lpstr>Med_site_pct</vt:lpstr>
      <vt:lpstr>Med_speed_cap</vt:lpstr>
      <vt:lpstr>Med_supplies_trips</vt:lpstr>
      <vt:lpstr>Med_task_class</vt:lpstr>
      <vt:lpstr>Med_temp_min</vt:lpstr>
      <vt:lpstr>Med_turnover</vt:lpstr>
      <vt:lpstr>Med_turnover_ds</vt:lpstr>
      <vt:lpstr>Med_unit_mass</vt:lpstr>
      <vt:lpstr>Med_waste_freq</vt:lpstr>
      <vt:lpstr>Med_waste_points</vt:lpstr>
      <vt:lpstr>N_avail</vt:lpstr>
      <vt:lpstr>N_battery_life</vt:lpstr>
      <vt:lpstr>N_battery_share</vt:lpstr>
      <vt:lpstr>N_capex_reserve</vt:lpstr>
      <vt:lpstr>N_charger_kw</vt:lpstr>
      <vt:lpstr>N_charger_price</vt:lpstr>
      <vt:lpstr>N_charger_ratio</vt:lpstr>
      <vt:lpstr>N_connect</vt:lpstr>
      <vt:lpstr>N_delivery_pct</vt:lpstr>
      <vt:lpstr>N_discount</vt:lpstr>
      <vt:lpstr>N_energy_price</vt:lpstr>
      <vt:lpstr>N_fot</vt:lpstr>
      <vt:lpstr>N_hire_cost</vt:lpstr>
      <vt:lpstr>N_kv</vt:lpstr>
      <vt:lpstr>N_license_pct</vt:lpstr>
      <vt:lpstr>N_life</vt:lpstr>
      <vt:lpstr>N_loan_rate</vt:lpstr>
      <vt:lpstr>N_loan_share</vt:lpstr>
      <vt:lpstr>N_loan_years</vt:lpstr>
      <vt:lpstr>N_loss_k_default</vt:lpstr>
      <vt:lpstr>N_pb_good</vt:lpstr>
      <vt:lpstr>N_pb_mid</vt:lpstr>
      <vt:lpstr>N_pnr_pct</vt:lpstr>
      <vt:lpstr>N_raas_pct</vt:lpstr>
      <vt:lpstr>N_raas_setup</vt:lpstr>
      <vt:lpstr>N_repair_pct</vt:lpstr>
      <vt:lpstr>N_reserve</vt:lpstr>
      <vt:lpstr>N_sens</vt:lpstr>
      <vt:lpstr>N_service_pct</vt:lpstr>
      <vt:lpstr>N_sw_pct</vt:lpstr>
      <vt:lpstr>N_training</vt:lpstr>
      <vt:lpstr>N_util</vt:lpstr>
      <vt:lpstr>Skl_aisle</vt:lpstr>
      <vt:lpstr>Skl_aisle_main</vt:lpstr>
      <vt:lpstr>Skl_aisle_rack</vt:lpstr>
      <vt:lpstr>Skl_auto_share</vt:lpstr>
      <vt:lpstr>Skl_base_labor</vt:lpstr>
      <vt:lpstr>Skl_budget</vt:lpstr>
      <vt:lpstr>Skl_clearance</vt:lpstr>
      <vt:lpstr>Skl_consum_per_robot</vt:lpstr>
      <vt:lpstr>Skl_days</vt:lpstr>
      <vt:lpstr>Skl_divisible</vt:lpstr>
      <vt:lpstr>Skl_fleet_per_shift</vt:lpstr>
      <vt:lpstr>Skl_fleet_sal</vt:lpstr>
      <vt:lpstr>Skl_forklift_ops</vt:lpstr>
      <vt:lpstr>Skl_fte_target</vt:lpstr>
      <vt:lpstr>Skl_func_share</vt:lpstr>
      <vt:lpstr>Skl_handling_req</vt:lpstr>
      <vt:lpstr>Skl_horizon</vt:lpstr>
      <vt:lpstr>Skl_hours_day</vt:lpstr>
      <vt:lpstr>Skl_in_pallets</vt:lpstr>
      <vt:lpstr>Skl_indoor_req</vt:lpstr>
      <vt:lpstr>Skl_integration</vt:lpstr>
      <vt:lpstr>Skl_L</vt:lpstr>
      <vt:lpstr>Skl_labor_target</vt:lpstr>
      <vt:lpstr>Skl_lift_share</vt:lpstr>
      <vt:lpstr>Skl_lift_time</vt:lpstr>
      <vt:lpstr>Skl_loss_k</vt:lpstr>
      <vt:lpstr>Skl_ops_day</vt:lpstr>
      <vt:lpstr>Skl_other_effects</vt:lpstr>
      <vt:lpstr>Skl_out_pallets</vt:lpstr>
      <vt:lpstr>Skl_outdoor_req</vt:lpstr>
      <vt:lpstr>Skl_oversize_share</vt:lpstr>
      <vt:lpstr>Skl_pallet_mass</vt:lpstr>
      <vt:lpstr>Skl_peak_k</vt:lpstr>
      <vt:lpstr>Skl_peak_ops_h</vt:lpstr>
      <vt:lpstr>Skl_power_kw</vt:lpstr>
      <vt:lpstr>Skl_repl_body</vt:lpstr>
      <vt:lpstr>Skl_repl_forks</vt:lpstr>
      <vt:lpstr>Skl_repl_platform</vt:lpstr>
      <vt:lpstr>Skl_repl_tow</vt:lpstr>
      <vt:lpstr>Skl_S_active</vt:lpstr>
      <vt:lpstr>Skl_S_total</vt:lpstr>
      <vt:lpstr>Skl_sal_forklift</vt:lpstr>
      <vt:lpstr>Skl_sal_target</vt:lpstr>
      <vt:lpstr>Skl_shift_h</vt:lpstr>
      <vt:lpstr>Skl_shifts</vt:lpstr>
      <vt:lpstr>Skl_site_pct</vt:lpstr>
      <vt:lpstr>Skl_speed_cap</vt:lpstr>
      <vt:lpstr>Skl_task_class</vt:lpstr>
      <vt:lpstr>Skl_temp_min</vt:lpstr>
      <vt:lpstr>Skl_turnover</vt:lpstr>
      <vt:lpstr>Skl_unit_mass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Ramil Aleshkin</cp:lastModifiedBy>
  <cp:revision>0</cp:revision>
  <dcterms:created xsi:type="dcterms:W3CDTF">2026-09-17T19:56:45Z</dcterms:created>
  <dcterms:modified xsi:type="dcterms:W3CDTF">2026-09-27T04:04:43Z</dcterms:modified>
  <dc:language>en-US</dc:language>
</cp:coreProperties>
</file>